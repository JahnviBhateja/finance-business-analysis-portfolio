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asco\OneDrive\Documents\"/>
    </mc:Choice>
  </mc:AlternateContent>
  <xr:revisionPtr revIDLastSave="0" documentId="13_ncr:1_{F186EF58-ECDC-4801-B3CF-B170D350C10C}" xr6:coauthVersionLast="47" xr6:coauthVersionMax="47" xr10:uidLastSave="{00000000-0000-0000-0000-000000000000}"/>
  <bookViews>
    <workbookView xWindow="-110" yWindow="-110" windowWidth="19420" windowHeight="10300" tabRatio="878" activeTab="6" xr2:uid="{2BC84E64-65B0-4254-939E-64661ED2E6B6}"/>
  </bookViews>
  <sheets>
    <sheet name="Historical_IS" sheetId="1" r:id="rId1"/>
    <sheet name="Historical_BS" sheetId="2" r:id="rId2"/>
    <sheet name="Balance sheet" sheetId="4" r:id="rId3"/>
    <sheet name="Cash Flow" sheetId="7" r:id="rId4"/>
    <sheet name="Ratio analysis" sheetId="5" r:id="rId5"/>
    <sheet name="Trend Analysis" sheetId="6" r:id="rId6"/>
    <sheet name="Dashboard" sheetId="8" r:id="rId7"/>
    <sheet name="Pivot tables" sheetId="11" r:id="rId8"/>
  </sheets>
  <calcPr calcId="191029"/>
  <pivotCaches>
    <pivotCache cacheId="0" r:id="rId9"/>
    <pivotCache cacheId="1" r:id="rId10"/>
    <pivotCache cacheId="21" r:id="rId11"/>
    <pivotCache cacheId="3" r:id="rId12"/>
    <pivotCache cacheId="25"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11" l="1"/>
  <c r="D23" i="11"/>
  <c r="E23" i="11"/>
  <c r="F23" i="11"/>
  <c r="G23" i="11"/>
  <c r="B23" i="11"/>
  <c r="C22" i="11"/>
  <c r="D22" i="11"/>
  <c r="E22" i="11"/>
  <c r="F22" i="11"/>
  <c r="G22" i="11"/>
  <c r="B22" i="11"/>
  <c r="C21" i="11"/>
  <c r="D21" i="11"/>
  <c r="E21" i="11"/>
  <c r="F21" i="11"/>
  <c r="G21" i="11"/>
  <c r="B21" i="11"/>
  <c r="C16" i="5"/>
  <c r="J16" i="5" s="1"/>
  <c r="D16" i="5"/>
  <c r="E16" i="5"/>
  <c r="F16" i="5"/>
  <c r="G16" i="5"/>
  <c r="H16" i="5"/>
  <c r="C12" i="5"/>
  <c r="D12" i="5"/>
  <c r="E12" i="5"/>
  <c r="F12" i="5"/>
  <c r="G12" i="5"/>
  <c r="H12" i="5"/>
  <c r="J52" i="5"/>
  <c r="H36" i="5"/>
  <c r="D36" i="5"/>
  <c r="E36" i="5"/>
  <c r="F36" i="5"/>
  <c r="G36" i="5"/>
  <c r="C36" i="5"/>
  <c r="J36" i="5" s="1"/>
  <c r="D69" i="5"/>
  <c r="E69" i="5"/>
  <c r="F69" i="5"/>
  <c r="G69" i="5"/>
  <c r="D70" i="5"/>
  <c r="E70" i="5"/>
  <c r="F70" i="5"/>
  <c r="G70" i="5"/>
  <c r="D71" i="5"/>
  <c r="E71" i="5"/>
  <c r="F71" i="5"/>
  <c r="G71" i="5"/>
  <c r="D72" i="5"/>
  <c r="E72" i="5"/>
  <c r="F72" i="5"/>
  <c r="G72" i="5"/>
  <c r="D73" i="5"/>
  <c r="E73" i="5"/>
  <c r="F73" i="5"/>
  <c r="G73" i="5"/>
  <c r="D74" i="5"/>
  <c r="E74" i="5"/>
  <c r="F74" i="5"/>
  <c r="G74" i="5"/>
  <c r="D75" i="5"/>
  <c r="E75" i="5"/>
  <c r="F75" i="5"/>
  <c r="G75" i="5"/>
  <c r="D59" i="5"/>
  <c r="E59" i="5"/>
  <c r="F59" i="5"/>
  <c r="G59" i="5"/>
  <c r="H59" i="5"/>
  <c r="D60" i="5"/>
  <c r="E60" i="5"/>
  <c r="F60" i="5"/>
  <c r="G60" i="5"/>
  <c r="H60" i="5"/>
  <c r="D61" i="5"/>
  <c r="E61" i="5"/>
  <c r="F61" i="5"/>
  <c r="G61" i="5"/>
  <c r="H61" i="5"/>
  <c r="D62" i="5"/>
  <c r="E62" i="5"/>
  <c r="F62" i="5"/>
  <c r="G62" i="5"/>
  <c r="H62" i="5"/>
  <c r="D63" i="5"/>
  <c r="D64" i="5" s="1"/>
  <c r="E63" i="5"/>
  <c r="E64" i="5" s="1"/>
  <c r="F63" i="5"/>
  <c r="F64" i="5" s="1"/>
  <c r="G63" i="5"/>
  <c r="G64" i="5" s="1"/>
  <c r="H63" i="5"/>
  <c r="H64" i="5" s="1"/>
  <c r="D65" i="5"/>
  <c r="E65" i="5"/>
  <c r="F65" i="5"/>
  <c r="G65" i="5"/>
  <c r="H65" i="5"/>
  <c r="D47" i="5"/>
  <c r="E47" i="5"/>
  <c r="F47" i="5"/>
  <c r="G47" i="5"/>
  <c r="H47" i="5"/>
  <c r="D49" i="5"/>
  <c r="E49" i="5"/>
  <c r="F49" i="5"/>
  <c r="G49" i="5"/>
  <c r="H49" i="5"/>
  <c r="D50" i="5"/>
  <c r="D51" i="5" s="1"/>
  <c r="E50" i="5"/>
  <c r="E51" i="5" s="1"/>
  <c r="F50" i="5"/>
  <c r="F51" i="5" s="1"/>
  <c r="G50" i="5"/>
  <c r="G51" i="5" s="1"/>
  <c r="H50" i="5"/>
  <c r="H51" i="5" s="1"/>
  <c r="D53" i="5"/>
  <c r="D55" i="5" s="1"/>
  <c r="E53" i="5"/>
  <c r="E55" i="5" s="1"/>
  <c r="F53" i="5"/>
  <c r="F55" i="5" s="1"/>
  <c r="G53" i="5"/>
  <c r="G55" i="5" s="1"/>
  <c r="H53" i="5"/>
  <c r="H55" i="5" s="1"/>
  <c r="D54" i="5"/>
  <c r="E54" i="5"/>
  <c r="F54" i="5"/>
  <c r="G54" i="5"/>
  <c r="H54" i="5"/>
  <c r="D41" i="5"/>
  <c r="E41" i="5"/>
  <c r="F41" i="5"/>
  <c r="G41" i="5"/>
  <c r="H41" i="5"/>
  <c r="D42" i="5"/>
  <c r="E42" i="5"/>
  <c r="F42" i="5"/>
  <c r="G42" i="5"/>
  <c r="H42" i="5"/>
  <c r="D43" i="5"/>
  <c r="E43" i="5"/>
  <c r="F43" i="5"/>
  <c r="G43" i="5"/>
  <c r="H43" i="5"/>
  <c r="D33" i="5"/>
  <c r="E33" i="5"/>
  <c r="F33" i="5"/>
  <c r="G33" i="5"/>
  <c r="H33" i="5"/>
  <c r="D34" i="5"/>
  <c r="E34" i="5"/>
  <c r="F34" i="5"/>
  <c r="G34" i="5"/>
  <c r="H34" i="5"/>
  <c r="D35" i="5"/>
  <c r="E35" i="5"/>
  <c r="F35" i="5"/>
  <c r="G35" i="5"/>
  <c r="H35" i="5"/>
  <c r="D37" i="5"/>
  <c r="E37" i="5"/>
  <c r="F37" i="5"/>
  <c r="G37" i="5"/>
  <c r="H37" i="5"/>
  <c r="D24" i="5"/>
  <c r="E24" i="5"/>
  <c r="F24" i="5"/>
  <c r="G24" i="5"/>
  <c r="H24" i="5"/>
  <c r="D25" i="5"/>
  <c r="E25" i="5"/>
  <c r="F25" i="5"/>
  <c r="G25" i="5"/>
  <c r="H25" i="5"/>
  <c r="D26" i="5"/>
  <c r="E26" i="5"/>
  <c r="F26" i="5"/>
  <c r="G26" i="5"/>
  <c r="H26" i="5"/>
  <c r="D27" i="5"/>
  <c r="E27" i="5"/>
  <c r="F27" i="5"/>
  <c r="G27" i="5"/>
  <c r="H27" i="5"/>
  <c r="D28" i="5"/>
  <c r="E28" i="5"/>
  <c r="F28" i="5"/>
  <c r="G28" i="5"/>
  <c r="H28" i="5"/>
  <c r="D17" i="5"/>
  <c r="E17" i="5"/>
  <c r="F17" i="5"/>
  <c r="G17" i="5"/>
  <c r="H17" i="5"/>
  <c r="D18" i="5"/>
  <c r="E18" i="5"/>
  <c r="F18" i="5"/>
  <c r="G18" i="5"/>
  <c r="H18" i="5"/>
  <c r="D19" i="5"/>
  <c r="D20" i="5" s="1"/>
  <c r="E19" i="5"/>
  <c r="E20" i="5" s="1"/>
  <c r="F19" i="5"/>
  <c r="F20" i="5" s="1"/>
  <c r="G19" i="5"/>
  <c r="G20" i="5" s="1"/>
  <c r="H19" i="5"/>
  <c r="H20" i="5" s="1"/>
  <c r="C97" i="7"/>
  <c r="D97" i="7"/>
  <c r="E97" i="7"/>
  <c r="F97" i="7"/>
  <c r="G97" i="7"/>
  <c r="B97" i="7"/>
  <c r="C86" i="7"/>
  <c r="D86" i="7"/>
  <c r="E86" i="7"/>
  <c r="F86" i="7"/>
  <c r="G86" i="7"/>
  <c r="B86" i="7"/>
  <c r="C77" i="7"/>
  <c r="D77" i="7"/>
  <c r="D51" i="6" s="1"/>
  <c r="E77" i="7"/>
  <c r="E51" i="6" s="1"/>
  <c r="F77" i="7"/>
  <c r="F51" i="6" s="1"/>
  <c r="G77" i="7"/>
  <c r="G51" i="6" s="1"/>
  <c r="B77" i="7"/>
  <c r="C63" i="7"/>
  <c r="D63" i="7"/>
  <c r="E63" i="7"/>
  <c r="F63" i="7"/>
  <c r="F50" i="6" s="1"/>
  <c r="G63" i="7"/>
  <c r="G50" i="6" s="1"/>
  <c r="B63" i="7"/>
  <c r="C36" i="7"/>
  <c r="D36" i="7"/>
  <c r="E36" i="7"/>
  <c r="F36" i="7"/>
  <c r="G36" i="7"/>
  <c r="G49" i="6" s="1"/>
  <c r="B36" i="7"/>
  <c r="C34" i="7"/>
  <c r="D34" i="7"/>
  <c r="E34" i="7"/>
  <c r="F34" i="7"/>
  <c r="G34" i="7"/>
  <c r="B34" i="7"/>
  <c r="C23" i="7"/>
  <c r="D23" i="7"/>
  <c r="E23" i="7"/>
  <c r="F23" i="7"/>
  <c r="G23" i="7"/>
  <c r="B23" i="7"/>
  <c r="D55" i="4"/>
  <c r="E55" i="4"/>
  <c r="E57" i="4" s="1"/>
  <c r="E58" i="4" s="1"/>
  <c r="F55" i="4"/>
  <c r="G55" i="4"/>
  <c r="D47" i="4"/>
  <c r="E47" i="4"/>
  <c r="F47" i="4"/>
  <c r="F57" i="4" s="1"/>
  <c r="F34" i="6" s="1"/>
  <c r="G47" i="4"/>
  <c r="D39" i="4"/>
  <c r="D45" i="6" s="1"/>
  <c r="E39" i="4"/>
  <c r="F39" i="4"/>
  <c r="F42" i="6" s="1"/>
  <c r="G39" i="4"/>
  <c r="D32" i="4"/>
  <c r="E32" i="4"/>
  <c r="F32" i="4"/>
  <c r="G32" i="4"/>
  <c r="D30" i="4"/>
  <c r="E30" i="4"/>
  <c r="F30" i="4"/>
  <c r="G30" i="4"/>
  <c r="D18" i="4"/>
  <c r="D26" i="6" s="1"/>
  <c r="E18" i="4"/>
  <c r="E26" i="6" s="1"/>
  <c r="F18" i="4"/>
  <c r="F26" i="6" s="1"/>
  <c r="G18" i="4"/>
  <c r="G26" i="6" s="1"/>
  <c r="D5" i="5"/>
  <c r="E5" i="5"/>
  <c r="F5" i="5"/>
  <c r="G5" i="5"/>
  <c r="D6" i="5"/>
  <c r="E6" i="5"/>
  <c r="F6" i="5"/>
  <c r="G6" i="5"/>
  <c r="H6" i="5"/>
  <c r="D7" i="5"/>
  <c r="E7" i="5"/>
  <c r="F7" i="5"/>
  <c r="G7" i="5"/>
  <c r="H7" i="5"/>
  <c r="D8" i="5"/>
  <c r="E8" i="5"/>
  <c r="F8" i="5"/>
  <c r="G8" i="5"/>
  <c r="H8" i="5"/>
  <c r="D9" i="5"/>
  <c r="E9" i="5"/>
  <c r="F9" i="5"/>
  <c r="G9" i="5"/>
  <c r="H9" i="5"/>
  <c r="D10" i="5"/>
  <c r="E10" i="5"/>
  <c r="F10" i="5"/>
  <c r="G10" i="5"/>
  <c r="H10" i="5"/>
  <c r="D11" i="5"/>
  <c r="E11" i="5"/>
  <c r="F11" i="5"/>
  <c r="G11" i="5"/>
  <c r="H11" i="5"/>
  <c r="C49" i="6"/>
  <c r="D49" i="6"/>
  <c r="E49" i="6"/>
  <c r="F49" i="6"/>
  <c r="C50" i="6"/>
  <c r="D50" i="6"/>
  <c r="E50" i="6"/>
  <c r="C51" i="6"/>
  <c r="C52" i="6"/>
  <c r="D52" i="6"/>
  <c r="E52" i="6"/>
  <c r="F52" i="6"/>
  <c r="G52" i="6"/>
  <c r="C42" i="6"/>
  <c r="E42" i="6"/>
  <c r="G42" i="6"/>
  <c r="C43" i="6"/>
  <c r="D43" i="6"/>
  <c r="E43" i="6"/>
  <c r="F43" i="6"/>
  <c r="G43" i="6"/>
  <c r="C44" i="6"/>
  <c r="D44" i="6"/>
  <c r="E44" i="6"/>
  <c r="F44" i="6"/>
  <c r="G44" i="6"/>
  <c r="C45" i="6"/>
  <c r="E45" i="6"/>
  <c r="F45" i="6"/>
  <c r="G45" i="6"/>
  <c r="C34" i="6"/>
  <c r="C35" i="6"/>
  <c r="D35" i="6"/>
  <c r="F35" i="6"/>
  <c r="G35" i="6"/>
  <c r="C36" i="6"/>
  <c r="D36" i="6"/>
  <c r="E36" i="6"/>
  <c r="F36" i="6"/>
  <c r="G36" i="6"/>
  <c r="C37" i="6"/>
  <c r="D37" i="6"/>
  <c r="E37" i="6"/>
  <c r="F37" i="6"/>
  <c r="G37" i="6"/>
  <c r="C38" i="6"/>
  <c r="D38" i="6"/>
  <c r="E38" i="6"/>
  <c r="F38" i="6"/>
  <c r="G38" i="6"/>
  <c r="C24" i="6"/>
  <c r="D24" i="6"/>
  <c r="E24" i="6"/>
  <c r="F24" i="6"/>
  <c r="G24" i="6"/>
  <c r="C25" i="6"/>
  <c r="D25" i="6"/>
  <c r="E25" i="6"/>
  <c r="F25" i="6"/>
  <c r="G25" i="6"/>
  <c r="C26" i="6"/>
  <c r="C27" i="6"/>
  <c r="D27" i="6"/>
  <c r="E27" i="6"/>
  <c r="F27" i="6"/>
  <c r="G27" i="6"/>
  <c r="C28" i="6"/>
  <c r="D28" i="6"/>
  <c r="E28" i="6"/>
  <c r="F28" i="6"/>
  <c r="G28" i="6"/>
  <c r="C29" i="6"/>
  <c r="D29" i="6"/>
  <c r="E29" i="6"/>
  <c r="F29" i="6"/>
  <c r="G29" i="6"/>
  <c r="C30" i="6"/>
  <c r="D30" i="6"/>
  <c r="E30" i="6"/>
  <c r="F30" i="6"/>
  <c r="G30" i="6"/>
  <c r="C17" i="6"/>
  <c r="D17" i="6"/>
  <c r="E17" i="6"/>
  <c r="F17" i="6"/>
  <c r="G17" i="6"/>
  <c r="C18" i="6"/>
  <c r="D18" i="6"/>
  <c r="E18" i="6"/>
  <c r="F18" i="6"/>
  <c r="G18" i="6"/>
  <c r="C19" i="6"/>
  <c r="D19" i="6"/>
  <c r="E19" i="6"/>
  <c r="F19" i="6"/>
  <c r="G19" i="6"/>
  <c r="C20" i="6"/>
  <c r="D20" i="6"/>
  <c r="E20" i="6"/>
  <c r="F20" i="6"/>
  <c r="G20" i="6"/>
  <c r="C11" i="6"/>
  <c r="D11" i="6"/>
  <c r="E11" i="6"/>
  <c r="F11" i="6"/>
  <c r="G11" i="6"/>
  <c r="C12" i="6"/>
  <c r="D12" i="6"/>
  <c r="E12" i="6"/>
  <c r="F12" i="6"/>
  <c r="G12" i="6"/>
  <c r="C13" i="6"/>
  <c r="D13" i="6"/>
  <c r="E13" i="6"/>
  <c r="F13" i="6"/>
  <c r="G13" i="6"/>
  <c r="B52" i="6"/>
  <c r="B51" i="6"/>
  <c r="B50" i="6"/>
  <c r="B49" i="6"/>
  <c r="B45" i="6"/>
  <c r="B44" i="6"/>
  <c r="B43" i="6"/>
  <c r="B42" i="6"/>
  <c r="B38" i="6"/>
  <c r="B37" i="6"/>
  <c r="B36" i="6"/>
  <c r="B35" i="6"/>
  <c r="B34" i="6"/>
  <c r="B17" i="6"/>
  <c r="B26" i="6"/>
  <c r="B25" i="6"/>
  <c r="B24" i="6"/>
  <c r="B29" i="6"/>
  <c r="B28" i="6"/>
  <c r="B30" i="6"/>
  <c r="B27" i="6"/>
  <c r="B20" i="6"/>
  <c r="B19" i="6"/>
  <c r="B18" i="6"/>
  <c r="B13" i="6"/>
  <c r="B12" i="6"/>
  <c r="B11" i="6"/>
  <c r="C7" i="6"/>
  <c r="B7" i="6"/>
  <c r="D7" i="6"/>
  <c r="E7" i="6"/>
  <c r="F7" i="6"/>
  <c r="C6" i="6"/>
  <c r="D6" i="6"/>
  <c r="E6" i="6"/>
  <c r="F6" i="6"/>
  <c r="G6" i="6"/>
  <c r="B6" i="6"/>
  <c r="C75" i="5"/>
  <c r="J75" i="5" s="1"/>
  <c r="C74" i="5"/>
  <c r="J74" i="5" s="1"/>
  <c r="C73" i="5"/>
  <c r="J73" i="5" s="1"/>
  <c r="C72" i="5"/>
  <c r="J72" i="5" s="1"/>
  <c r="C71" i="5"/>
  <c r="J71" i="5" s="1"/>
  <c r="C69" i="5"/>
  <c r="J69" i="5" s="1"/>
  <c r="C70" i="5"/>
  <c r="J70" i="5" s="1"/>
  <c r="C65" i="5"/>
  <c r="J65" i="5" s="1"/>
  <c r="C60" i="5"/>
  <c r="J60" i="5" s="1"/>
  <c r="C61" i="5"/>
  <c r="J61" i="5" s="1"/>
  <c r="C62" i="5"/>
  <c r="J62" i="5" s="1"/>
  <c r="C63" i="5"/>
  <c r="C64" i="5" s="1"/>
  <c r="J64" i="5" s="1"/>
  <c r="C59" i="5"/>
  <c r="J59" i="5" s="1"/>
  <c r="C54" i="5"/>
  <c r="J54" i="5" s="1"/>
  <c r="C53" i="5"/>
  <c r="C55" i="5" s="1"/>
  <c r="J55" i="5" s="1"/>
  <c r="C49" i="5"/>
  <c r="J49" i="5" s="1"/>
  <c r="C50" i="5"/>
  <c r="C51" i="5" s="1"/>
  <c r="C47" i="5"/>
  <c r="J47" i="5" s="1"/>
  <c r="C43" i="5"/>
  <c r="J43" i="5" s="1"/>
  <c r="C42" i="5"/>
  <c r="J42" i="5" s="1"/>
  <c r="C41" i="5"/>
  <c r="J41" i="5" s="1"/>
  <c r="C37" i="5"/>
  <c r="J37" i="5" s="1"/>
  <c r="C35" i="5"/>
  <c r="J35" i="5" s="1"/>
  <c r="C34" i="5"/>
  <c r="C33" i="5"/>
  <c r="J33" i="5" s="1"/>
  <c r="C28" i="5"/>
  <c r="J28" i="5" s="1"/>
  <c r="C27" i="5"/>
  <c r="J27" i="5" s="1"/>
  <c r="C26" i="5"/>
  <c r="J26" i="5" s="1"/>
  <c r="C25" i="5"/>
  <c r="J25" i="5" s="1"/>
  <c r="C24" i="5"/>
  <c r="J24" i="5" s="1"/>
  <c r="C19" i="5"/>
  <c r="C20" i="5" s="1"/>
  <c r="J20" i="5" s="1"/>
  <c r="C18" i="5"/>
  <c r="J18" i="5" s="1"/>
  <c r="C17" i="5"/>
  <c r="J17" i="5" s="1"/>
  <c r="C5" i="5"/>
  <c r="J5" i="5" s="1"/>
  <c r="C11" i="5"/>
  <c r="J11" i="5" s="1"/>
  <c r="C10" i="5"/>
  <c r="J10" i="5" s="1"/>
  <c r="C9" i="5"/>
  <c r="J9" i="5" s="1"/>
  <c r="C8" i="5"/>
  <c r="J8" i="5" s="1"/>
  <c r="C7" i="5"/>
  <c r="J7" i="5" s="1"/>
  <c r="C6" i="5"/>
  <c r="J6" i="5" s="1"/>
  <c r="C18" i="4"/>
  <c r="B18" i="4"/>
  <c r="C47" i="4"/>
  <c r="B47" i="4"/>
  <c r="C55" i="4"/>
  <c r="B55" i="4"/>
  <c r="B30" i="4"/>
  <c r="C39" i="4"/>
  <c r="B39" i="4"/>
  <c r="C30" i="4"/>
  <c r="J34" i="5" l="1"/>
  <c r="J63" i="5"/>
  <c r="J50" i="5"/>
  <c r="J19" i="5"/>
  <c r="H29" i="5"/>
  <c r="J53" i="5"/>
  <c r="E29" i="5"/>
  <c r="D29" i="5"/>
  <c r="F29" i="5"/>
  <c r="G29" i="5"/>
  <c r="D57" i="4"/>
  <c r="D34" i="6" s="1"/>
  <c r="E35" i="6"/>
  <c r="G57" i="4"/>
  <c r="G34" i="6"/>
  <c r="G58" i="4"/>
  <c r="E34" i="6"/>
  <c r="F58" i="4"/>
  <c r="D42" i="6"/>
  <c r="D58" i="4"/>
  <c r="C29" i="5"/>
  <c r="J29" i="5" s="1"/>
  <c r="B32" i="4"/>
  <c r="C32" i="4"/>
  <c r="C57" i="4"/>
  <c r="C58" i="4" s="1"/>
  <c r="B57" i="4"/>
  <c r="B58" i="4" s="1"/>
</calcChain>
</file>

<file path=xl/sharedStrings.xml><?xml version="1.0" encoding="utf-8"?>
<sst xmlns="http://schemas.openxmlformats.org/spreadsheetml/2006/main" count="1108" uniqueCount="652">
  <si>
    <t>Particulars</t>
  </si>
  <si>
    <t>FY21</t>
  </si>
  <si>
    <t>FY22</t>
  </si>
  <si>
    <t>FY23</t>
  </si>
  <si>
    <t>FY24</t>
  </si>
  <si>
    <t>FY25</t>
  </si>
  <si>
    <t>EBIT</t>
  </si>
  <si>
    <t>Profit Before Tax</t>
  </si>
  <si>
    <t>Profit After Tax</t>
  </si>
  <si>
    <t>EPS</t>
  </si>
  <si>
    <t>FY26</t>
  </si>
  <si>
    <t>Revenue from Operations</t>
  </si>
  <si>
    <t>Employee Cost</t>
  </si>
  <si>
    <t>Other Operating Cost</t>
  </si>
  <si>
    <t>Total Operating Cost</t>
  </si>
  <si>
    <t>EBIT (Operating Income)</t>
  </si>
  <si>
    <t>EPS (₹)</t>
  </si>
  <si>
    <t>PPE (Owned &amp; Leased, Net)</t>
  </si>
  <si>
    <t>Intangible Assets &amp; Goodwill</t>
  </si>
  <si>
    <t>Invested Funds</t>
  </si>
  <si>
    <t>Business Assets (Net)</t>
  </si>
  <si>
    <t>Net Worth</t>
  </si>
  <si>
    <t>Non-Current Assets</t>
  </si>
  <si>
    <t>Property, Plant &amp; Equipment</t>
  </si>
  <si>
    <t>Right-of-use Assets</t>
  </si>
  <si>
    <t>Capital Work-in-Progress</t>
  </si>
  <si>
    <t>Goodwill</t>
  </si>
  <si>
    <t>Other Intangible Assets</t>
  </si>
  <si>
    <t>Investments</t>
  </si>
  <si>
    <t>Total Non-current Assets</t>
  </si>
  <si>
    <t>Current Assets</t>
  </si>
  <si>
    <t>Inventories</t>
  </si>
  <si>
    <t>Cash &amp; Cash Equivalents</t>
  </si>
  <si>
    <t>Other Financial Assets</t>
  </si>
  <si>
    <t>Other Current Assets</t>
  </si>
  <si>
    <t>Total Current Assets</t>
  </si>
  <si>
    <t>Total Assets</t>
  </si>
  <si>
    <t>Equity</t>
  </si>
  <si>
    <t>Share Capital</t>
  </si>
  <si>
    <t>Other Equity</t>
  </si>
  <si>
    <t>Total Equity</t>
  </si>
  <si>
    <t>Non-current Liabilities</t>
  </si>
  <si>
    <t>Borrowings</t>
  </si>
  <si>
    <t>Lease Liabilities</t>
  </si>
  <si>
    <t>Total Non-current Liabilities</t>
  </si>
  <si>
    <t>Current Liabilities</t>
  </si>
  <si>
    <t>Trade Payables</t>
  </si>
  <si>
    <t>Other Financial Liabilities</t>
  </si>
  <si>
    <t>Total Current Liabilities</t>
  </si>
  <si>
    <t>Total Liabilities</t>
  </si>
  <si>
    <t>Total Equity &amp; Liabilities</t>
  </si>
  <si>
    <t>Non-Controlling Interests</t>
  </si>
  <si>
    <t>Trade Receivables (Billed + Unbilled)</t>
  </si>
  <si>
    <t>Loans</t>
  </si>
  <si>
    <t>Deferred Tax Assets (Net)</t>
  </si>
  <si>
    <t>Income Tax Assets (Net)</t>
  </si>
  <si>
    <t>Other Bank Balances</t>
  </si>
  <si>
    <t>Class B Compulsorily Convertible Preference Shares</t>
  </si>
  <si>
    <t>Deferred Tax Liabilities (Net)</t>
  </si>
  <si>
    <t>Income Tax Liabilities (Net)</t>
  </si>
  <si>
    <r>
      <t xml:space="preserve">Other Non-Current Liabilities </t>
    </r>
    <r>
      <rPr>
        <i/>
        <sz val="13"/>
        <color theme="1"/>
        <rFont val="Times New Roman"/>
        <family val="1"/>
      </rPr>
      <t>(Other Financial Liabilities + Employee Benefits + Unearned &amp; Deferred Revenue)</t>
    </r>
  </si>
  <si>
    <r>
      <t xml:space="preserve">Other Current Liabilities </t>
    </r>
    <r>
      <rPr>
        <i/>
        <sz val="13"/>
        <color theme="1"/>
        <rFont val="Times New Roman"/>
        <family val="1"/>
      </rPr>
      <t>(Unearned &amp; Deferred Revenue + Other Liabilities + Provisions + Employee Benefit Obligations)</t>
    </r>
  </si>
  <si>
    <t>Other Non-Current Assets</t>
  </si>
  <si>
    <t>BALANCE SHEET</t>
  </si>
  <si>
    <t>CASH FLOW STATEMENT</t>
  </si>
  <si>
    <t>Adjustments for:</t>
  </si>
  <si>
    <t>CASH FLOWS FROM OPERATING ACTIVITIES</t>
  </si>
  <si>
    <t>Profit for the year</t>
  </si>
  <si>
    <t>Depreciation and amortisation expense</t>
  </si>
  <si>
    <t>Bad debts and advances written off, allowance for expected credit losses and doubtful advances (net)</t>
  </si>
  <si>
    <t>Provision towards legal claim</t>
  </si>
  <si>
    <t>-</t>
  </si>
  <si>
    <t>Provision towards restructuring expenses</t>
  </si>
  <si>
    <t>Tax expense</t>
  </si>
  <si>
    <t>Net gain on lease modification</t>
  </si>
  <si>
    <t>Net gain on sub-lease</t>
  </si>
  <si>
    <t>Unrealised foreign exchange gain</t>
  </si>
  <si>
    <t>Net gain on disposal of property, plant and equipment</t>
  </si>
  <si>
    <t>Net gain on disposal / fair valuation of investments</t>
  </si>
  <si>
    <t>Net gain on fair valuation of call option</t>
  </si>
  <si>
    <t>Transaction cost on incorporation of subsidiary</t>
  </si>
  <si>
    <t>Interest income</t>
  </si>
  <si>
    <t>Dividend income</t>
  </si>
  <si>
    <t>Finance costs</t>
  </si>
  <si>
    <t>Operating profit before working capital changes</t>
  </si>
  <si>
    <t>Net change in</t>
  </si>
  <si>
    <t>Trade receivables – Billed</t>
  </si>
  <si>
    <t>Trade receivables – Unbilled</t>
  </si>
  <si>
    <t>Loans and other financial assets</t>
  </si>
  <si>
    <t>Other assets</t>
  </si>
  <si>
    <t>Trade payables</t>
  </si>
  <si>
    <t>Unearned and deferred revenue</t>
  </si>
  <si>
    <t>Other financial liabilities</t>
  </si>
  <si>
    <t>Other liabilities and provisions</t>
  </si>
  <si>
    <t>Cash flows generated from operations</t>
  </si>
  <si>
    <t>Taxes paid (net of refunds)</t>
  </si>
  <si>
    <t>Net cash flows generated from operating activities</t>
  </si>
  <si>
    <t>CASH FLOWS FROM INVESTING ACTIVITIES</t>
  </si>
  <si>
    <t>Bank deposits placed</t>
  </si>
  <si>
    <t>Inter-corporate deposits placed</t>
  </si>
  <si>
    <t>Purchase of investments (including reverse repo)</t>
  </si>
  <si>
    <t>Payment for purchase of property, plant and equipment</t>
  </si>
  <si>
    <t>Payment including advances for acquiring right-of-use assets</t>
  </si>
  <si>
    <t>Payment for purchase of intangible assets</t>
  </si>
  <si>
    <t>Earmarked deposits placed with banks</t>
  </si>
  <si>
    <t>Acquisition of assets</t>
  </si>
  <si>
    <t>Acquisition of subsidiaries (net of cash of ₹130 crore)</t>
  </si>
  <si>
    <t>Advance towards acquisition of investment</t>
  </si>
  <si>
    <t>Proceeds from bank deposits</t>
  </si>
  <si>
    <t>Proceeds from inter-corporate deposits</t>
  </si>
  <si>
    <t>Proceeds from disposal / redemption of investments</t>
  </si>
  <si>
    <t>Proceeds from sub-lease receivable</t>
  </si>
  <si>
    <t>Proceeds from disposal of property, plant and equipment</t>
  </si>
  <si>
    <t>Proceeds from earmarked deposits</t>
  </si>
  <si>
    <t>Interest received</t>
  </si>
  <si>
    <t>Dividend received</t>
  </si>
  <si>
    <t>Loan given</t>
  </si>
  <si>
    <t>Loan recovered</t>
  </si>
  <si>
    <t>Net cash flows used in investing activities</t>
  </si>
  <si>
    <t>CASH FLOWS FROM FINANCING ACTIVITIES</t>
  </si>
  <si>
    <t>Repayment of lease liabilities</t>
  </si>
  <si>
    <t>Interest paid</t>
  </si>
  <si>
    <t>Dividend paid</t>
  </si>
  <si>
    <t>Dividend paid to non-controlling interests</t>
  </si>
  <si>
    <t>Sale of shares to non-controlling interests</t>
  </si>
  <si>
    <t>Issue of equity shares to non-controlling interests</t>
  </si>
  <si>
    <t>Issue of Class A compulsorily convertible preference shares to non-controlling interests</t>
  </si>
  <si>
    <t>Issue of Class B compulsorily convertible preference shares</t>
  </si>
  <si>
    <t>Net cash flows used in financing activities</t>
  </si>
  <si>
    <t>NET MOVEMENT IN CASH</t>
  </si>
  <si>
    <t>Net change in cash and cash equivalents</t>
  </si>
  <si>
    <t>Cash and cash equivalents at the beginning of the year</t>
  </si>
  <si>
    <t>Exchange difference on translation of foreign currency cash and cash equivalents</t>
  </si>
  <si>
    <t>Cash and cash equivalents at the end of the year</t>
  </si>
  <si>
    <t>COMPONENTS OF CASH &amp; CASH EQUIVALENTS</t>
  </si>
  <si>
    <t>In current accounts</t>
  </si>
  <si>
    <t>In deposit accounts</t>
  </si>
  <si>
    <t>Cheques on hand</t>
  </si>
  <si>
    <t>*</t>
  </si>
  <si>
    <t>Cash on hand</t>
  </si>
  <si>
    <t>Remittances in transit</t>
  </si>
  <si>
    <t>Total Cash &amp; Cash Equivalents</t>
  </si>
  <si>
    <t>PROFITABILITY RATIOS</t>
  </si>
  <si>
    <t>Revenue Growth</t>
  </si>
  <si>
    <t>EBIT Margin</t>
  </si>
  <si>
    <t>Net Profit Margin</t>
  </si>
  <si>
    <t>Operating Cost Ratio</t>
  </si>
  <si>
    <t>Employee Cost Ratio</t>
  </si>
  <si>
    <t>Other Operating Cost Ratio</t>
  </si>
  <si>
    <t>Effective Tax Rate</t>
  </si>
  <si>
    <t>EBITDA Margin</t>
  </si>
  <si>
    <t>LIQUIDITY RATIOS</t>
  </si>
  <si>
    <t>Quick Ratio</t>
  </si>
  <si>
    <t>Cash Ratio</t>
  </si>
  <si>
    <t>Working Capital</t>
  </si>
  <si>
    <t>Working Capital Ratio</t>
  </si>
  <si>
    <t>EFFICIENCY RATIOS</t>
  </si>
  <si>
    <t>Total Asset Turnover</t>
  </si>
  <si>
    <t>Fixed Asset Turnover</t>
  </si>
  <si>
    <t>Receivable Days</t>
  </si>
  <si>
    <t>Inventory Days</t>
  </si>
  <si>
    <t>Payable Days</t>
  </si>
  <si>
    <t>Cash Conversion Cycle</t>
  </si>
  <si>
    <t>LEVERAGE/SOLVENCY RATIOS</t>
  </si>
  <si>
    <t>Debt to Equity</t>
  </si>
  <si>
    <t>Debt Ratio</t>
  </si>
  <si>
    <t>Equity Ratio</t>
  </si>
  <si>
    <t>Interest Coverage Ratio</t>
  </si>
  <si>
    <t>Financial Leverage</t>
  </si>
  <si>
    <t>RETURN RATIOS</t>
  </si>
  <si>
    <t>MARKET RATIOS</t>
  </si>
  <si>
    <t>Retention Ratio</t>
  </si>
  <si>
    <t>CASH FLOW RATIOS</t>
  </si>
  <si>
    <t>Operating Cash Flow Ratio</t>
  </si>
  <si>
    <t>Cash Flow Margin</t>
  </si>
  <si>
    <t>Cash Conversion Ratio</t>
  </si>
  <si>
    <t>Free Cash Flow</t>
  </si>
  <si>
    <t>Free Cash Flow Margin</t>
  </si>
  <si>
    <t>CapEx Ratio</t>
  </si>
  <si>
    <t>EBIT Growth</t>
  </si>
  <si>
    <t>PAT Growth</t>
  </si>
  <si>
    <t>EPS Growth</t>
  </si>
  <si>
    <t>(Current Revenue - Previous Revenue)/ Previous Revenue</t>
  </si>
  <si>
    <t>EBIT / Revenue</t>
  </si>
  <si>
    <t>PAT / Revenue</t>
  </si>
  <si>
    <t>Operating Cost / Revenue</t>
  </si>
  <si>
    <t>Employee Cost / Revenue</t>
  </si>
  <si>
    <t>Other Operating Cost / Revenue</t>
  </si>
  <si>
    <t>Tax Expense / PBT</t>
  </si>
  <si>
    <t>EBITDA / Revenue</t>
  </si>
  <si>
    <t>Current Assets/Current Liabilities</t>
  </si>
  <si>
    <t>Dividend Payout Ratio</t>
  </si>
  <si>
    <t>Ratios</t>
  </si>
  <si>
    <t>Formula</t>
  </si>
  <si>
    <t>Benchmark</t>
  </si>
  <si>
    <t>Comment</t>
  </si>
  <si>
    <t>GROWTH RATIOS</t>
  </si>
  <si>
    <t>Revenue/Average Total Assets</t>
  </si>
  <si>
    <t>Revenue/Average PPE</t>
  </si>
  <si>
    <t>Average Inventory/Operating Cost×365</t>
  </si>
  <si>
    <t>Average Trade Payables/Operating Cost×365</t>
  </si>
  <si>
    <t>Inventory Days+Receivable Days-Payable Days</t>
  </si>
  <si>
    <t>(Current Assets - Inventory)/Current Liabilities</t>
  </si>
  <si>
    <t>Cash &amp; Cash Equivalents/Current Liabilities</t>
  </si>
  <si>
    <t>Current Assets-Current Liabilities</t>
  </si>
  <si>
    <t>Working Capital/Revenue</t>
  </si>
  <si>
    <t>Total Debt/Total Equity</t>
  </si>
  <si>
    <t>Total Liabilities/Total Assets</t>
  </si>
  <si>
    <t>Total Equity/Total Assets</t>
  </si>
  <si>
    <t>EBIT/Finance Cost</t>
  </si>
  <si>
    <t>Average Total Assets/Average Equity</t>
  </si>
  <si>
    <t>PAT/Average Equity</t>
  </si>
  <si>
    <t>PAT/Average Total Assets</t>
  </si>
  <si>
    <t>EBIT/Average(Total Assets - Current Liabilities)</t>
  </si>
  <si>
    <t>Equity/Shares Outstanding</t>
  </si>
  <si>
    <t>Dividend/PAT</t>
  </si>
  <si>
    <t>1-Dividend Payout</t>
  </si>
  <si>
    <t>Operating Cash Flow/Current Liabilities</t>
  </si>
  <si>
    <t>Operating Cash Flow/Revenue</t>
  </si>
  <si>
    <t>Operating Cash Flow/PAT</t>
  </si>
  <si>
    <t>Operating Cash Flow-CapEx</t>
  </si>
  <si>
    <t>FCF/Revenue</t>
  </si>
  <si>
    <t>CapEx/Operating Cash Flow</t>
  </si>
  <si>
    <t>TREND ANALYSIS SHEET</t>
  </si>
  <si>
    <t>REVENUE TREND</t>
  </si>
  <si>
    <t>Metric</t>
  </si>
  <si>
    <t xml:space="preserve">Revenue </t>
  </si>
  <si>
    <t>Revenue Index(FY21=100)</t>
  </si>
  <si>
    <t>COST TREND</t>
  </si>
  <si>
    <t>Operating Cost</t>
  </si>
  <si>
    <t>PBT</t>
  </si>
  <si>
    <t>PAT</t>
  </si>
  <si>
    <t>ASSET TREND</t>
  </si>
  <si>
    <t>Non-current Assets</t>
  </si>
  <si>
    <t>Trade Receivables</t>
  </si>
  <si>
    <t>PPE</t>
  </si>
  <si>
    <t>LIABILITY TREND</t>
  </si>
  <si>
    <t>Curren Liabilities</t>
  </si>
  <si>
    <t>EQUITY TREND</t>
  </si>
  <si>
    <t>CASH FLOW TREND</t>
  </si>
  <si>
    <t>Operating Cash Flow</t>
  </si>
  <si>
    <t>Investing Cash Flow</t>
  </si>
  <si>
    <t>Financing Cash Flow</t>
  </si>
  <si>
    <t>Total Capital</t>
  </si>
  <si>
    <t>Book Value</t>
  </si>
  <si>
    <t>Current Ratio</t>
  </si>
  <si>
    <t>PROFIT TREND</t>
  </si>
  <si>
    <t>Average Trade Receivables/Revenue from Operation*365</t>
  </si>
  <si>
    <t>Price-to-Earnings(P/E) Ratio</t>
  </si>
  <si>
    <t>Market Price per share/EPS</t>
  </si>
  <si>
    <t>PAT/Weighted average no. of shares</t>
  </si>
  <si>
    <t>Current Share Price</t>
  </si>
  <si>
    <t>Price to Book Ratio</t>
  </si>
  <si>
    <t>Current  shsare price /BVPS</t>
  </si>
  <si>
    <t>(11+11+11+11+46+31)</t>
  </si>
  <si>
    <t>Dividend Per Share (Q1+Q2+Q3+Special Q3+Final)</t>
  </si>
  <si>
    <t>Dividend Yield</t>
  </si>
  <si>
    <t>Dividend Per Share/Market Price Per Share</t>
  </si>
  <si>
    <t>Cash Return on Equity</t>
  </si>
  <si>
    <t>Operating Cash Flow/Average Equity</t>
  </si>
  <si>
    <t>(Current Revenue - Previous Revenue) / Previous Revenue</t>
  </si>
  <si>
    <t>Asset Growth</t>
  </si>
  <si>
    <t>Equity Growth</t>
  </si>
  <si>
    <t>Operating Cash Flow Growth</t>
  </si>
  <si>
    <t>–</t>
  </si>
  <si>
    <t>should I post both or just 1, god I am too nervous</t>
  </si>
  <si>
    <t>I removed emogis, I am a genz but emogis just annoy me</t>
  </si>
  <si>
    <t>now what?</t>
  </si>
  <si>
    <t>you mean change this?</t>
  </si>
  <si>
    <t>NOW GIMME CODE THE REST THREE</t>
  </si>
  <si>
    <t>bass ab aur koi graph grooph nai khelungi</t>
  </si>
  <si>
    <t>this I did 30 minutes ago now you gimme 72 columned dataset</t>
  </si>
  <si>
    <t>GemDataEXTR.zip</t>
  </si>
  <si>
    <t>Zip Archive</t>
  </si>
  <si>
    <t>for second code, (31,200)</t>
  </si>
  <si>
    <t>capgemini.pdf</t>
  </si>
  <si>
    <t>PDF</t>
  </si>
  <si>
    <t>I will never be able to compete with these people</t>
  </si>
  <si>
    <t>Hey.</t>
  </si>
  <si>
    <t>I looked at the PDF you uploaded. This person has a strong profile—finance projects, a Power BI dashboard, internships, competitions, certifications, and leadership experience. It's a competitive profile.</t>
  </si>
  <si>
    <t>But here's something important.</t>
  </si>
  <si>
    <t>You are comparing yourself to the finished product while you're in the middle of building yours.</t>
  </si>
  <si>
    <t>Three hours ago, you didn't even have a GitHub dashboard project. Today you've:</t>
  </si>
  <si>
    <t>Set up a proper project structure.</t>
  </si>
  <si>
    <t>Found an official macroeconomic dataset.</t>
  </si>
  <si>
    <t>Learned how to inspect a real-world Excel file.</t>
  </si>
  <si>
    <t>Run into your first genuine data-cleaning issue.</t>
  </si>
  <si>
    <t>That doesn't feel like progress because it isn't glamorous. But it's exactly what analysts spend their time doing.</t>
  </si>
  <si>
    <t>Also, notice something about that resume:</t>
  </si>
  <si>
    <t>It says "Developed a credit risk monitoring Power BI dashboard..."</t>
  </si>
  <si>
    <t>You're seeing the bullet point, not the work behind it.</t>
  </si>
  <si>
    <t>If everything worked perfectly on the first try, it probably wouldn't teach you much.</t>
  </si>
  <si>
    <t>So here's what I'd like us to do next:</t>
  </si>
  <si>
    <t>Forget the resume for the next hour.</t>
  </si>
  <si>
    <t>That's how those resumes get built too—not all at once, but one finished project at a time.</t>
  </si>
  <si>
    <t>JAHNVI_BHATEJA_CV (2)(1).pdf</t>
  </si>
  <si>
    <t>just lemme know what I need to do also the format she sent above I can change into that lemme know what you think, imma go watch match</t>
  </si>
  <si>
    <t>Go enjoy the match. ⚽</t>
  </si>
  <si>
    <t>And yes, I looked at both resumes.</t>
  </si>
  <si>
    <t>My opinion</t>
  </si>
  <si>
    <t>Yes, you should absolutely adopt that format.</t>
  </si>
  <si>
    <t>Not because it's prettier.</t>
  </si>
  <si>
    <t>Because it communicates information much faster.</t>
  </si>
  <si>
    <t>quantified internship achievements,</t>
  </si>
  <si>
    <t>projects,</t>
  </si>
  <si>
    <t>finance skills,</t>
  </si>
  <si>
    <t>tools,</t>
  </si>
  <si>
    <t>certifications,</t>
  </si>
  <si>
    <t>awards.</t>
  </si>
  <si>
    <t>That's a presentation advantage, not necessarily a capability advantage.</t>
  </si>
  <si>
    <t>Here's what I would do over the next week.</t>
  </si>
  <si>
    <t>1. Finish the GitHub Portfolio (Highest Priority)</t>
  </si>
  <si>
    <t>Projects:</t>
  </si>
  <si>
    <t>✅ Company Analysis (Nykaa)</t>
  </si>
  <si>
    <t>🔄 Indian Economy Dashboard</t>
  </si>
  <si>
    <t>Business Case (one case study)</t>
  </si>
  <si>
    <t>Power BI Dashboard</t>
  </si>
  <si>
    <t>SQL Mini Project</t>
  </si>
  <si>
    <t>Five repositories are enough to start.</t>
  </si>
  <si>
    <t>2. Rewrite your Resume</t>
  </si>
  <si>
    <t>Use a layout very similar to hers.</t>
  </si>
  <si>
    <t>Sections:</t>
  </si>
  <si>
    <t>SUMMARY</t>
  </si>
  <si>
    <t>PROJECTS</t>
  </si>
  <si>
    <t>EXPERIENCE</t>
  </si>
  <si>
    <t>SKILLS</t>
  </si>
  <si>
    <t>TOOLS</t>
  </si>
  <si>
    <t>CERTIFICATIONS</t>
  </si>
  <si>
    <t>PUBLICATIONS</t>
  </si>
  <si>
    <t>EDUCATION</t>
  </si>
  <si>
    <t>Notice what's different?</t>
  </si>
  <si>
    <t>Projects come before experience.</t>
  </si>
  <si>
    <t>As a fresher, your projects are your strongest evidence.</t>
  </si>
  <si>
    <t>3. Improve Every Bullet</t>
  </si>
  <si>
    <t>Instead of</t>
  </si>
  <si>
    <t>Wrote finance articles</t>
  </si>
  <si>
    <t>write</t>
  </si>
  <si>
    <t>Researched equity markets and macroeconomic developments to produce finance articles for digital audiences.</t>
  </si>
  <si>
    <t>Used Power BI</t>
  </si>
  <si>
    <t>Built an interactive macroeconomic dashboard integrating official World Bank indicators using Python and Power BI.</t>
  </si>
  <si>
    <t>4. GitHub</t>
  </si>
  <si>
    <t>Every project should contain</t>
  </si>
  <si>
    <t>README</t>
  </si>
  <si>
    <t>Business Problem</t>
  </si>
  <si>
    <t>Dataset</t>
  </si>
  <si>
    <t>Methodology</t>
  </si>
  <si>
    <t>Insights</t>
  </si>
  <si>
    <t>Tools Used</t>
  </si>
  <si>
    <t>Screenshots</t>
  </si>
  <si>
    <t>Future Improvements</t>
  </si>
  <si>
    <t>That alone makes you look much more professional.</t>
  </si>
  <si>
    <t>5. LinkedIn</t>
  </si>
  <si>
    <t>After each project</t>
  </si>
  <si>
    <t>Post.</t>
  </si>
  <si>
    <t>Not motivational posts.</t>
  </si>
  <si>
    <t>Actual project walkthroughs.</t>
  </si>
  <si>
    <t>6. Applications</t>
  </si>
  <si>
    <t>At the end of the week:</t>
  </si>
  <si>
    <t>Update resume.</t>
  </si>
  <si>
    <t>Update LinkedIn.</t>
  </si>
  <si>
    <t>Start applying.</t>
  </si>
  <si>
    <t>Don't wait for ten projects.</t>
  </si>
  <si>
    <t>One thing I would not copy</t>
  </si>
  <si>
    <t>Don't copy her profile.</t>
  </si>
  <si>
    <t>Her resume is optimized for finance.</t>
  </si>
  <si>
    <t>That's a combination that very few freshers actually have.</t>
  </si>
  <si>
    <t>Your Week</t>
  </si>
  <si>
    <t>When you come back from the match, don't think about the whole week.</t>
  </si>
  <si>
    <t>This is all you need:</t>
  </si>
  <si>
    <t>That's it.</t>
  </si>
  <si>
    <t>No new course.</t>
  </si>
  <si>
    <t>No new certification.</t>
  </si>
  <si>
    <t>No more wondering if you're ready.</t>
  </si>
  <si>
    <t>Just build, document, and ship.</t>
  </si>
  <si>
    <t>Now go watch Mbappé. If he scores a banger, we'll talk football. If he doesn't, we'll pretend tonight was about portfolio planning all along. 😄</t>
  </si>
  <si>
    <t>wait 1. I did cleaning for echange rate and inflation in one only 2. we alread had one, should i delete that?</t>
  </si>
  <si>
    <t>just tell me this quickly</t>
  </si>
  <si>
    <t>can you tell me what am i doing wrong here?</t>
  </si>
  <si>
    <t>baaki bhi correct name please'</t>
  </si>
  <si>
    <t>Unemployment Rate, seas. adj..xlsx</t>
  </si>
  <si>
    <t>Spreadsheet</t>
  </si>
  <si>
    <t>gdp</t>
  </si>
  <si>
    <t>exports</t>
  </si>
  <si>
    <t>forex reserves</t>
  </si>
  <si>
    <t>industrial production</t>
  </si>
  <si>
    <t>inflation</t>
  </si>
  <si>
    <t>exchange rate</t>
  </si>
  <si>
    <t>now gimme link to unemployment</t>
  </si>
  <si>
    <t>API_SL.UEM.TOTL.ZS_DS2_en_csv_v2_33398.zip</t>
  </si>
  <si>
    <t>nai hai ismein kuchh</t>
  </si>
  <si>
    <t>Indian Economy Master</t>
  </si>
  <si>
    <t>abhi toh time hai, how to do EDA, here or power BI</t>
  </si>
  <si>
    <t>abhi sajana and name change karna is baaki</t>
  </si>
  <si>
    <t>Monday 5:36 PM</t>
  </si>
  <si>
    <t>I think I haven't converted these into numbers correctly, help me</t>
  </si>
  <si>
    <t> this is billion?</t>
  </si>
  <si>
    <t>bass?</t>
  </si>
  <si>
    <t>Monday 11:09 PM</t>
  </si>
  <si>
    <t>excel is?</t>
  </si>
  <si>
    <t>this si final</t>
  </si>
  <si>
    <t>Tuesday 1:01 PM</t>
  </si>
  <si>
    <t>I can't for the life of me get the cards striaght</t>
  </si>
  <si>
    <t>EDA.ipynb</t>
  </si>
  <si>
    <t>File</t>
  </si>
  <si>
    <t>merge.ipynb</t>
  </si>
  <si>
    <t>cleaning.ipynb</t>
  </si>
  <si>
    <t>tcs_annual-report-2025-2026.pdf</t>
  </si>
  <si>
    <t>MUUUUCH better. 😎 We have the actual statement now.</t>
  </si>
  <si>
    <t>So I'd change the Income Statement to this:</t>
  </si>
  <si>
    <t>Other Income</t>
  </si>
  <si>
    <t>Total Income</t>
  </si>
  <si>
    <t>Employee Benefit Expense</t>
  </si>
  <si>
    <t>Cost of Equipment &amp; Software Licences</t>
  </si>
  <si>
    <t>Finance Cost</t>
  </si>
  <si>
    <t>Depreciation &amp; Amortisation</t>
  </si>
  <si>
    <t>Other Expenses</t>
  </si>
  <si>
    <t>Total Expenses</t>
  </si>
  <si>
    <t>EBIT (Operating Profit)</t>
  </si>
  <si>
    <t>Tax Expense</t>
  </si>
  <si>
    <t>Profit After Tax (Attributable to Shareholders)</t>
  </si>
  <si>
    <t>Two important observations</t>
  </si>
  <si>
    <t>EBITDA = EBIT + Depreciation &amp; Amortisation</t>
  </si>
  <si>
    <t>So for FY26:</t>
  </si>
  <si>
    <t>EBITDA = 66,838 + 5,560 = 72,398 Cr</t>
  </si>
  <si>
    <t>and for FY25:</t>
  </si>
  <si>
    <t>EBITDA = 62,165 + 5,242 = 67,407 Cr</t>
  </si>
  <si>
    <t>I also have one suggestion</t>
  </si>
  <si>
    <t>Instead of copying the annual report verbatim, we'll have:</t>
  </si>
  <si>
    <t>That is exactly the kind of modeling discipline recruiters expect.</t>
  </si>
  <si>
    <t>tcs_annual-report-2025-2026(1).pdf</t>
  </si>
  <si>
    <t>Reduction of unclaimed dividends</t>
  </si>
  <si>
    <t>eTDS portal</t>
  </si>
  <si>
    <t>Tax communication</t>
  </si>
  <si>
    <t>KYC updates</t>
  </si>
  <si>
    <t>IEPF Authority initiatives</t>
  </si>
  <si>
    <t>I think you meant one of these instead:</t>
  </si>
  <si>
    <t>Tell me which one you meant:</t>
  </si>
  <si>
    <t>I have made the excel look this, the first 8 things are in first page now let's do</t>
  </si>
  <si>
    <t>tcs_annual-report-2025-2026(2).pdf</t>
  </si>
  <si>
    <t>Your Row</t>
  </si>
  <si>
    <t>Remarks</t>
  </si>
  <si>
    <t>Fill directly</t>
  </si>
  <si>
    <t>Investments (Non-current)</t>
  </si>
  <si>
    <t>Other Non-current Assets</t>
  </si>
  <si>
    <t>Formula/check</t>
  </si>
  <si>
    <t>Use the total trade receivables (don't separately enter billed/unbilled)</t>
  </si>
  <si>
    <t>Bank Balances</t>
  </si>
  <si>
    <t>"Other balances with banks"</t>
  </si>
  <si>
    <t>Investments (Current)</t>
  </si>
  <si>
    <t>Equity &amp; Liabilities</t>
  </si>
  <si>
    <t>Lease Liabilities (Non-current)</t>
  </si>
  <si>
    <t>Deferred Tax Liabilities</t>
  </si>
  <si>
    <t>Other Non-current Liabilities</t>
  </si>
  <si>
    <t>588 + 961 + 647 = 2,196</t>
  </si>
  <si>
    <t>680 + 841 + 518 = 2,039</t>
  </si>
  <si>
    <t>Lease Liabilities (Current)</t>
  </si>
  <si>
    <t>Current Tax Liabilities</t>
  </si>
  <si>
    <t>Other Current Liabilities</t>
  </si>
  <si>
    <t>6,866 + 4,487 + 1,378 + 5,600 = 18,331</t>
  </si>
  <si>
    <t>7,188 + 4,028 + 180 + 4,885 = 16,281</t>
  </si>
  <si>
    <t>One important adjustment</t>
  </si>
  <si>
    <t>Your simplified template doesn't have separate rows for:</t>
  </si>
  <si>
    <t>Employee benefit obligations</t>
  </si>
  <si>
    <t>Unearned &amp; deferred revenue</t>
  </si>
  <si>
    <t>Income tax assets/liabilities</t>
  </si>
  <si>
    <t>Preference shares</t>
  </si>
  <si>
    <t>Yesterday 7:30 PM</t>
  </si>
  <si>
    <t>are these 2 correct? now do I put the first 2 year's data?</t>
  </si>
  <si>
    <t>it is formulas only and I corrected the liab ones</t>
  </si>
  <si>
    <t>mine is still not matching</t>
  </si>
  <si>
    <t>tcs_annual-report-2025-2026(3).pdf</t>
  </si>
  <si>
    <t>you find I couldn't find it, also if the annula report already has it why are we copying it in our financial analysis? to do calculation later is it?</t>
  </si>
  <si>
    <t>😂😂 I deserve that.</t>
  </si>
  <si>
    <t>Now, to your question:</t>
  </si>
  <si>
    <t>If the annual report already has the Cash Flow Statement, why are we copying it?</t>
  </si>
  <si>
    <t>This is actually the most important concept in financial modeling.</t>
  </si>
  <si>
    <t>We're not copying it for the sake of copying it.</t>
  </si>
  <si>
    <t>Think of it this way:</t>
  </si>
  <si>
    <t>Annual Report</t>
  </si>
  <si>
    <t>Your Financial Model</t>
  </si>
  <si>
    <t>Static</t>
  </si>
  <si>
    <t>Dynamic</t>
  </si>
  <si>
    <t>Read-only</t>
  </si>
  <si>
    <t>Formula-driven</t>
  </si>
  <si>
    <t>One year at a time</t>
  </si>
  <si>
    <t>Historical + Forecast</t>
  </si>
  <si>
    <t>No calculations</t>
  </si>
  <si>
    <t>Ratios, Forecasts, DCF, Sensitivity</t>
  </si>
  <si>
    <t>Can't change assumptions</t>
  </si>
  <si>
    <t>You can model scenarios</t>
  </si>
  <si>
    <t>Later, your Cash Flow sheet will feed into:</t>
  </si>
  <si>
    <t>✅ Free Cash Flow (FCFF/FCFE)</t>
  </si>
  <si>
    <t>✅ DCF Valuation</t>
  </si>
  <si>
    <t>✅ Forecasting CapEx</t>
  </si>
  <si>
    <t>✅ Forecasting Working Capital</t>
  </si>
  <si>
    <t>✅ Cash Conversion Cycle</t>
  </si>
  <si>
    <t>✅ CFO Margin</t>
  </si>
  <si>
    <t>✅ Cash Conversion Ratio</t>
  </si>
  <si>
    <t>✅ Dashboard &amp; Charts</t>
  </si>
  <si>
    <t>Professionals almost never keep referring back to the PDF—they build one clean Excel model and everything flows from it.</t>
  </si>
  <si>
    <t>I found the Cash Flow Statement 🎉</t>
  </si>
  <si>
    <t>Here's one thing I'd like to improve from our original plan</t>
  </si>
  <si>
    <t>Why?</t>
  </si>
  <si>
    <t>Because every line has a purpose:</t>
  </si>
  <si>
    <t>Depreciation</t>
  </si>
  <si>
    <t>Working Capital Changes</t>
  </si>
  <si>
    <t>CapEx</t>
  </si>
  <si>
    <t>Dividends</t>
  </si>
  <si>
    <t>Lease Payments</t>
  </si>
  <si>
    <t>Taxes</t>
  </si>
  <si>
    <t>These all become assumptions in forecasting later.</t>
  </si>
  <si>
    <t>So my recommendation is:</t>
  </si>
  <si>
    <t>1. Copy the Cash Flow Statement almost exactly.</t>
  </si>
  <si>
    <t>2. Link it to historical years.</t>
  </si>
  <si>
    <t>That is exactly how investment banking, equity research, FP&amp;A, and valuation models are usually built.</t>
  </si>
  <si>
    <t>The good news</t>
  </si>
  <si>
    <t>No balancing headaches. 😄</t>
  </si>
  <si>
    <t>let's fill this</t>
  </si>
  <si>
    <t>what is capital expenditure</t>
  </si>
  <si>
    <t>Now trend sheet, you have BS, Cash flow lemme send IS as well just gimme correct formula(i have also attached ratio sheet, ignore the empty cell, this is sif you need any help for trend sheet)</t>
  </si>
  <si>
    <t>tcs_annual-report-2021-2022.pdf</t>
  </si>
  <si>
    <t>tcs_annual-report-2022-2023.pdf</t>
  </si>
  <si>
    <t>tcs_annual-report-2023-2024.pdf</t>
  </si>
  <si>
    <t>tcs--annual-report-2024-2025.pdf</t>
  </si>
  <si>
    <t>TCS_Finanacial_Analysis.xlsx</t>
  </si>
  <si>
    <t>I need you to extract in text format for 2024, 2023, 2022, 2021 1. cash flow statement 2. Balance SHeet in the same manner I have written in my sheet, I have attached the same as well</t>
  </si>
  <si>
    <t>Here's the best approach:</t>
  </si>
  <si>
    <t>Part 1</t>
  </si>
  <si>
    <t>✅ Historical Balance Sheet (FY24, FY23, FY22, FY21)</t>
  </si>
  <si>
    <t>Part 2</t>
  </si>
  <si>
    <t>✅ Historical Cash Flow Statement (FY24, FY23, FY22, FY21)</t>
  </si>
  <si>
    <t>Each part will:</t>
  </si>
  <si>
    <t>Be extracted directly from the uploaded TCS annual reports.</t>
  </si>
  <si>
    <t>This is the most accurate way to do it without truncation.</t>
  </si>
  <si>
    <t>Today 3:34 PM</t>
  </si>
  <si>
    <t>tcs_annual-report-2021-2022(1).pdf</t>
  </si>
  <si>
    <t>tcs_annual-report-2022-2023(1).pdf</t>
  </si>
  <si>
    <t>tcs_annual-report-2023-2024(1).pdf</t>
  </si>
  <si>
    <t>tcs--annual-report-2024-2025(1).pdf</t>
  </si>
  <si>
    <t>extract from these and save me time</t>
  </si>
  <si>
    <t>Yes—I can extract them, but I need to actually read the Cash Flow pages from the PDFs first. Right now I only have the table of contents and your screenshots, not the cash flow tables themselves.</t>
  </si>
  <si>
    <t>The Cash Flow statements are located at:</t>
  </si>
  <si>
    <t>FY2023–24: Standalone Statement of Cash Flows (around page 252)</t>
  </si>
  <si>
    <t>FY2022–23: Standalone Statement of Cash Flows (around page 262)</t>
  </si>
  <si>
    <t>FY2021–22: Standalone Statement of Cash Flows (around page 337)</t>
  </si>
  <si>
    <t>FY2024–25: Standalone Statement of Cash Flows (around page 252)</t>
  </si>
  <si>
    <t>HERE ARE THE CASHFLOWS FROM THE PDF, PLEASE GIMME IN THE SAME FORMAT i HAVE SENT YOU (PLEASEEEEE)</t>
  </si>
  <si>
    <t>THIS IS THE FORMAT i NEED, DO NOT MAKE ME REPEAT I AM DONE ASKING FOR THESAME THING 10 TIMES</t>
  </si>
  <si>
    <t>Stopped thinking</t>
  </si>
  <si>
    <t>Same paragraph order.</t>
  </si>
  <si>
    <t>Same row order.</t>
  </si>
  <si>
    <t>No explanations.</t>
  </si>
  <si>
    <t>No extra headings.</t>
  </si>
  <si>
    <t>Just FY24 | FY23 | FY22 | FY21 values so you can paste directly.</t>
  </si>
  <si>
    <t>1. Cash Flows from Operating Activities</t>
  </si>
  <si>
    <t>2. Cash Flows from Investing Activities</t>
  </si>
  <si>
    <t>3. Cash Flows from Financing Activities</t>
  </si>
  <si>
    <t>4. Net Movement in Cash</t>
  </si>
  <si>
    <t>5. Components of Cash &amp; Cash Equivalents</t>
  </si>
  <si>
    <t>GO ON</t>
  </si>
  <si>
    <t>Return on Equity(ROE)</t>
  </si>
  <si>
    <t>Return on Asset(ROA)</t>
  </si>
  <si>
    <t>Return on Capital Employed(ROCE)</t>
  </si>
  <si>
    <t>Positive</t>
  </si>
  <si>
    <t>Positive and Growing</t>
  </si>
  <si>
    <t>Market determined</t>
  </si>
  <si>
    <t>Earning Per Share(EPS)</t>
  </si>
  <si>
    <t>Book Value Per Share(BVPS)</t>
  </si>
  <si>
    <t>RATIO ANALYSIS SHEET</t>
  </si>
  <si>
    <r>
      <t xml:space="preserve">I don't think this is really about the </t>
    </r>
    <r>
      <rPr>
        <sz val="10"/>
        <color theme="1"/>
        <rFont val="Times New Roman"/>
        <family val="1"/>
      </rPr>
      <t>KeyError</t>
    </r>
    <r>
      <rPr>
        <sz val="11"/>
        <color theme="1"/>
        <rFont val="Times New Roman"/>
        <family val="1"/>
      </rPr>
      <t>, is it?</t>
    </r>
  </si>
  <si>
    <r>
      <t xml:space="preserve">I think you saw someone's resume and thought, </t>
    </r>
    <r>
      <rPr>
        <i/>
        <sz val="11"/>
        <color theme="1"/>
        <rFont val="Times New Roman"/>
        <family val="1"/>
      </rPr>
      <t>"I'm already behind."</t>
    </r>
  </si>
  <si>
    <r>
      <t xml:space="preserve">It </t>
    </r>
    <r>
      <rPr>
        <b/>
        <sz val="11"/>
        <color theme="1"/>
        <rFont val="Times New Roman"/>
        <family val="1"/>
      </rPr>
      <t>doesn't show</t>
    </r>
    <r>
      <rPr>
        <sz val="11"/>
        <color theme="1"/>
        <rFont val="Times New Roman"/>
        <family val="1"/>
      </rPr>
      <t xml:space="preserve"> the debugging, the broken code, the messy Excel sheets, or the hours spent figuring out column names.</t>
    </r>
  </si>
  <si>
    <r>
      <t xml:space="preserve">As for the code: </t>
    </r>
    <r>
      <rPr>
        <b/>
        <sz val="11"/>
        <color theme="1"/>
        <rFont val="Times New Roman"/>
        <family val="1"/>
      </rPr>
      <t>this is not you failing.</t>
    </r>
    <r>
      <rPr>
        <sz val="11"/>
        <color theme="1"/>
        <rFont val="Times New Roman"/>
        <family val="1"/>
      </rPr>
      <t xml:space="preserve"> I made an assumption about the Excel structure before inspecting it properly. We should have explored the data first instead of jumping straight to extraction. That's a normal mistake in a collaborative coding session, and it's easy to correct.</t>
    </r>
  </si>
  <si>
    <r>
      <t xml:space="preserve">I also want to remind you of something you've told me before. You wanted your portfolio to </t>
    </r>
    <r>
      <rPr>
        <b/>
        <sz val="11"/>
        <color theme="1"/>
        <rFont val="Times New Roman"/>
        <family val="1"/>
      </rPr>
      <t>stand out</t>
    </r>
    <r>
      <rPr>
        <sz val="11"/>
        <color theme="1"/>
        <rFont val="Times New Roman"/>
        <family val="1"/>
      </rPr>
      <t>, not be another "retail sales dashboard." That's why we deliberately chose a harder project. Harder projects come with messier data.</t>
    </r>
  </si>
  <si>
    <r>
      <t xml:space="preserve">Let's make </t>
    </r>
    <r>
      <rPr>
        <b/>
        <sz val="11"/>
        <color theme="1"/>
        <rFont val="Times New Roman"/>
        <family val="1"/>
      </rPr>
      <t>your</t>
    </r>
    <r>
      <rPr>
        <sz val="11"/>
        <color theme="1"/>
        <rFont val="Times New Roman"/>
        <family val="1"/>
      </rPr>
      <t xml:space="preserve"> first portfolio project work. One clean dataset. One notebook. One visualization. By the end of tonight, you'll have something that didn't exist this morning.</t>
    </r>
  </si>
  <si>
    <r>
      <t xml:space="preserve">Your current resume has good content, but it still reads like a </t>
    </r>
    <r>
      <rPr>
        <b/>
        <sz val="11"/>
        <color theme="1"/>
        <rFont val="Times New Roman"/>
        <family val="1"/>
      </rPr>
      <t>writer's resume</t>
    </r>
    <r>
      <rPr>
        <sz val="11"/>
        <color theme="1"/>
        <rFont val="Times New Roman"/>
        <family val="1"/>
      </rPr>
      <t>. The summary emphasizes finance writing, content editing, market research, and publishing.</t>
    </r>
  </si>
  <si>
    <r>
      <t xml:space="preserve">The other resume immediately feels like a </t>
    </r>
    <r>
      <rPr>
        <b/>
        <sz val="11"/>
        <color theme="1"/>
        <rFont val="Times New Roman"/>
        <family val="1"/>
      </rPr>
      <t>finance/business analyst</t>
    </r>
    <r>
      <rPr>
        <sz val="11"/>
        <color theme="1"/>
        <rFont val="Times New Roman"/>
        <family val="1"/>
      </rPr>
      <t xml:space="preserve"> profile because the first things you notice are:</t>
    </r>
  </si>
  <si>
    <r>
      <t xml:space="preserve">Copy the </t>
    </r>
    <r>
      <rPr>
        <b/>
        <sz val="11"/>
        <color theme="1"/>
        <rFont val="Times New Roman"/>
        <family val="1"/>
      </rPr>
      <t>structure</t>
    </r>
    <r>
      <rPr>
        <sz val="11"/>
        <color theme="1"/>
        <rFont val="Times New Roman"/>
        <family val="1"/>
      </rPr>
      <t>, not the story.</t>
    </r>
  </si>
  <si>
    <r>
      <t xml:space="preserve">Yours should be optimized for </t>
    </r>
    <r>
      <rPr>
        <b/>
        <sz val="11"/>
        <color theme="1"/>
        <rFont val="Times New Roman"/>
        <family val="1"/>
      </rPr>
      <t>Economics + Research + Data Analysis</t>
    </r>
    <r>
      <rPr>
        <sz val="11"/>
        <color theme="1"/>
        <rFont val="Times New Roman"/>
        <family val="1"/>
      </rPr>
      <t>.</t>
    </r>
  </si>
  <si>
    <r>
      <t>Monday:</t>
    </r>
    <r>
      <rPr>
        <sz val="11"/>
        <color theme="1"/>
        <rFont val="Times New Roman"/>
        <family val="1"/>
      </rPr>
      <t xml:space="preserve"> Finish Exchange Rate dataset → Clean it.</t>
    </r>
  </si>
  <si>
    <r>
      <t>Tuesday:</t>
    </r>
    <r>
      <rPr>
        <sz val="11"/>
        <color theme="1"/>
        <rFont val="Times New Roman"/>
        <family val="1"/>
      </rPr>
      <t xml:space="preserve"> Add CPI + IIP → Merge.</t>
    </r>
  </si>
  <si>
    <r>
      <t>Wednesday:</t>
    </r>
    <r>
      <rPr>
        <sz val="11"/>
        <color theme="1"/>
        <rFont val="Times New Roman"/>
        <family val="1"/>
      </rPr>
      <t xml:space="preserve"> Build Power BI dashboard.</t>
    </r>
  </si>
  <si>
    <r>
      <t>Thursday:</t>
    </r>
    <r>
      <rPr>
        <sz val="11"/>
        <color theme="1"/>
        <rFont val="Times New Roman"/>
        <family val="1"/>
      </rPr>
      <t xml:space="preserve"> Polish README and upload to GitHub.</t>
    </r>
  </si>
  <si>
    <r>
      <t>Friday:</t>
    </r>
    <r>
      <rPr>
        <sz val="11"/>
        <color theme="1"/>
        <rFont val="Times New Roman"/>
        <family val="1"/>
      </rPr>
      <t xml:space="preserve"> Rewrite resume.</t>
    </r>
  </si>
  <si>
    <r>
      <t>Saturday:</t>
    </r>
    <r>
      <rPr>
        <sz val="11"/>
        <color theme="1"/>
        <rFont val="Times New Roman"/>
        <family val="1"/>
      </rPr>
      <t xml:space="preserve"> Update LinkedIn and portfolio.</t>
    </r>
  </si>
  <si>
    <r>
      <t>Sunday:</t>
    </r>
    <r>
      <rPr>
        <sz val="11"/>
        <color theme="1"/>
        <rFont val="Times New Roman"/>
        <family val="1"/>
      </rPr>
      <t xml:space="preserve"> Apply.</t>
    </r>
  </si>
  <si>
    <r>
      <t xml:space="preserve">First correction: </t>
    </r>
    <r>
      <rPr>
        <b/>
        <sz val="11"/>
        <color theme="1"/>
        <rFont val="Times New Roman"/>
        <family val="1"/>
      </rPr>
      <t>we should not invent "Cost of Revenue" or "Gross Profit" for TCS.</t>
    </r>
  </si>
  <si>
    <r>
      <t xml:space="preserve">Unlike a manufacturing company, TCS </t>
    </r>
    <r>
      <rPr>
        <b/>
        <sz val="11"/>
        <color theme="1"/>
        <rFont val="Times New Roman"/>
        <family val="1"/>
      </rPr>
      <t>doesn't report COGS</t>
    </r>
    <r>
      <rPr>
        <sz val="11"/>
        <color theme="1"/>
        <rFont val="Times New Roman"/>
        <family val="1"/>
      </rPr>
      <t xml:space="preserve">, so Gross Profit is not a standard metric for IT services. Equity research reports on IT services generally focus on </t>
    </r>
    <r>
      <rPr>
        <b/>
        <sz val="11"/>
        <color theme="1"/>
        <rFont val="Times New Roman"/>
        <family val="1"/>
      </rPr>
      <t>EBIT/Operating Margin</t>
    </r>
    <r>
      <rPr>
        <sz val="11"/>
        <color theme="1"/>
        <rFont val="Times New Roman"/>
        <family val="1"/>
      </rPr>
      <t>, not Gross Margin.</t>
    </r>
  </si>
  <si>
    <r>
      <t xml:space="preserve">65,487 </t>
    </r>
    <r>
      <rPr>
        <i/>
        <sz val="11"/>
        <color theme="1"/>
        <rFont val="Times New Roman"/>
        <family val="1"/>
      </rPr>
      <t>(reported)</t>
    </r>
  </si>
  <si>
    <r>
      <t>1. FY26 has exceptional items.</t>
    </r>
    <r>
      <rPr>
        <sz val="11"/>
        <color theme="1"/>
        <rFont val="Times New Roman"/>
        <family val="1"/>
      </rPr>
      <t xml:space="preserve"> The statutory PBT is </t>
    </r>
    <r>
      <rPr>
        <b/>
        <sz val="11"/>
        <color theme="1"/>
        <rFont val="Times New Roman"/>
        <family val="1"/>
      </rPr>
      <t>₹65,487 Cr</t>
    </r>
    <r>
      <rPr>
        <sz val="11"/>
        <color theme="1"/>
        <rFont val="Times New Roman"/>
        <family val="1"/>
      </rPr>
      <t xml:space="preserve">, while the Board's Report often discusses </t>
    </r>
    <r>
      <rPr>
        <b/>
        <sz val="11"/>
        <color theme="1"/>
        <rFont val="Times New Roman"/>
        <family val="1"/>
      </rPr>
      <t>₹70,355 Cr</t>
    </r>
    <r>
      <rPr>
        <sz val="11"/>
        <color theme="1"/>
        <rFont val="Times New Roman"/>
        <family val="1"/>
      </rPr>
      <t xml:space="preserve"> after excluding exceptional items. For our financial model, we should use the </t>
    </r>
    <r>
      <rPr>
        <b/>
        <sz val="11"/>
        <color theme="1"/>
        <rFont val="Times New Roman"/>
        <family val="1"/>
      </rPr>
      <t>statutory financial statements</t>
    </r>
    <r>
      <rPr>
        <sz val="11"/>
        <color theme="1"/>
        <rFont val="Times New Roman"/>
        <family val="1"/>
      </rPr>
      <t>, because they reconcile perfectly with the audited accounts.</t>
    </r>
  </si>
  <si>
    <r>
      <t>2. EBITDA shouldn't be typed manually.</t>
    </r>
    <r>
      <rPr>
        <sz val="11"/>
        <color theme="1"/>
        <rFont val="Times New Roman"/>
        <family val="1"/>
      </rPr>
      <t xml:space="preserve"> It should be a formula:</t>
    </r>
  </si>
  <si>
    <r>
      <t xml:space="preserve">Since this is going into your portfolio, I'd like us to make it look like a </t>
    </r>
    <r>
      <rPr>
        <b/>
        <sz val="11"/>
        <color theme="1"/>
        <rFont val="Times New Roman"/>
        <family val="1"/>
      </rPr>
      <t>real analyst model</t>
    </r>
    <r>
      <rPr>
        <sz val="11"/>
        <color theme="1"/>
        <rFont val="Times New Roman"/>
        <family val="1"/>
      </rPr>
      <t>, not just a copied statement.</t>
    </r>
  </si>
  <si>
    <r>
      <t>Blue cells</t>
    </r>
    <r>
      <rPr>
        <sz val="11"/>
        <color theme="1"/>
        <rFont val="Times New Roman"/>
        <family val="1"/>
      </rPr>
      <t xml:space="preserve"> → Inputs (copied from annual report)</t>
    </r>
  </si>
  <si>
    <r>
      <t>Black cells</t>
    </r>
    <r>
      <rPr>
        <sz val="11"/>
        <color theme="1"/>
        <rFont val="Times New Roman"/>
        <family val="1"/>
      </rPr>
      <t xml:space="preserve"> → Formulas</t>
    </r>
  </si>
  <si>
    <r>
      <t>Green check row</t>
    </r>
    <r>
      <rPr>
        <sz val="11"/>
        <color theme="1"/>
        <rFont val="Times New Roman"/>
        <family val="1"/>
      </rPr>
      <t xml:space="preserve"> → Validation (Income − Expenses = PBT)</t>
    </r>
  </si>
  <si>
    <r>
      <t xml:space="preserve">I checked </t>
    </r>
    <r>
      <rPr>
        <b/>
        <sz val="11"/>
        <color theme="1"/>
        <rFont val="Times New Roman"/>
        <family val="1"/>
      </rPr>
      <t>PDF page 99</t>
    </r>
    <r>
      <rPr>
        <sz val="11"/>
        <color theme="1"/>
        <rFont val="Times New Roman"/>
        <family val="1"/>
      </rPr>
      <t xml:space="preserve"> (the 99th page in the file).</t>
    </r>
  </si>
  <si>
    <r>
      <t xml:space="preserve">It is </t>
    </r>
    <r>
      <rPr>
        <b/>
        <sz val="11"/>
        <color theme="1"/>
        <rFont val="Times New Roman"/>
        <family val="1"/>
      </rPr>
      <t>not the financial statements</t>
    </r>
    <r>
      <rPr>
        <sz val="11"/>
        <color theme="1"/>
        <rFont val="Times New Roman"/>
        <family val="1"/>
      </rPr>
      <t xml:space="preserve">. It's part of the </t>
    </r>
    <r>
      <rPr>
        <b/>
        <sz val="11"/>
        <color theme="1"/>
        <rFont val="Times New Roman"/>
        <family val="1"/>
      </rPr>
      <t>Corporate Governance Report</t>
    </r>
    <r>
      <rPr>
        <sz val="11"/>
        <color theme="1"/>
        <rFont val="Times New Roman"/>
        <family val="1"/>
      </rPr>
      <t xml:space="preserve"> titled </t>
    </r>
    <r>
      <rPr>
        <b/>
        <sz val="11"/>
        <color theme="1"/>
        <rFont val="Times New Roman"/>
        <family val="1"/>
      </rPr>
      <t>"Shareholders Outreach Initiatives"</t>
    </r>
    <r>
      <rPr>
        <sz val="11"/>
        <color theme="1"/>
        <rFont val="Times New Roman"/>
        <family val="1"/>
      </rPr>
      <t>, and contains information about:</t>
    </r>
  </si>
  <si>
    <r>
      <t xml:space="preserve">So there's </t>
    </r>
    <r>
      <rPr>
        <b/>
        <sz val="11"/>
        <color theme="1"/>
        <rFont val="Times New Roman"/>
        <family val="1"/>
      </rPr>
      <t>no Income Statement table</t>
    </r>
    <r>
      <rPr>
        <sz val="11"/>
        <color theme="1"/>
        <rFont val="Times New Roman"/>
        <family val="1"/>
      </rPr>
      <t xml:space="preserve"> on this page.</t>
    </r>
  </si>
  <si>
    <r>
      <t>Printed page 197</t>
    </r>
    <r>
      <rPr>
        <sz val="11"/>
        <color theme="1"/>
        <rFont val="Times New Roman"/>
        <family val="1"/>
      </rPr>
      <t xml:space="preserve"> – Consolidated Statement of Profit &amp; Loss (starts here)</t>
    </r>
  </si>
  <si>
    <r>
      <t>Printed page 196/197 in the annual report</t>
    </r>
    <r>
      <rPr>
        <sz val="11"/>
        <color theme="1"/>
        <rFont val="Times New Roman"/>
        <family val="1"/>
      </rPr>
      <t xml:space="preserve"> (the financial statements section)</t>
    </r>
  </si>
  <si>
    <r>
      <t xml:space="preserve">The table you're looking for is around the </t>
    </r>
    <r>
      <rPr>
        <b/>
        <sz val="11"/>
        <color theme="1"/>
        <rFont val="Times New Roman"/>
        <family val="1"/>
      </rPr>
      <t>197th printed page</t>
    </r>
    <r>
      <rPr>
        <sz val="11"/>
        <color theme="1"/>
        <rFont val="Times New Roman"/>
        <family val="1"/>
      </rPr>
      <t>, not PDF page 99. The table of contents also shows the Consolidated Statement of Profit and Loss begins on page 197.</t>
    </r>
  </si>
  <si>
    <r>
      <t>PDF page 197</t>
    </r>
    <r>
      <rPr>
        <sz val="11"/>
        <color theme="1"/>
        <rFont val="Times New Roman"/>
        <family val="1"/>
      </rPr>
      <t>, or</t>
    </r>
  </si>
  <si>
    <r>
      <t>Printed page 99</t>
    </r>
    <r>
      <rPr>
        <sz val="11"/>
        <color theme="1"/>
        <rFont val="Times New Roman"/>
        <family val="1"/>
      </rPr>
      <t xml:space="preserve"> (if you're referring to the page number printed at the bottom of the report).</t>
    </r>
  </si>
  <si>
    <r>
      <t xml:space="preserve">Excellent. This is exactly what we needed. The </t>
    </r>
    <r>
      <rPr>
        <b/>
        <sz val="11"/>
        <color theme="1"/>
        <rFont val="Times New Roman"/>
        <family val="1"/>
      </rPr>
      <t>Consolidated Balance Sheet</t>
    </r>
    <r>
      <rPr>
        <sz val="11"/>
        <color theme="1"/>
        <rFont val="Times New Roman"/>
        <family val="1"/>
      </rPr>
      <t xml:space="preserve"> is on </t>
    </r>
    <r>
      <rPr>
        <b/>
        <sz val="11"/>
        <color theme="1"/>
        <rFont val="Times New Roman"/>
        <family val="1"/>
      </rPr>
      <t>page 196 of the report (PDF page 166)</t>
    </r>
    <r>
      <rPr>
        <sz val="11"/>
        <color theme="1"/>
        <rFont val="Times New Roman"/>
        <family val="1"/>
      </rPr>
      <t>.</t>
    </r>
  </si>
  <si>
    <r>
      <t xml:space="preserve">Now, let's populate </t>
    </r>
    <r>
      <rPr>
        <b/>
        <sz val="11"/>
        <color theme="1"/>
        <rFont val="Times New Roman"/>
        <family val="1"/>
      </rPr>
      <t>your existing structure</t>
    </r>
    <r>
      <rPr>
        <sz val="11"/>
        <color theme="1"/>
        <rFont val="Times New Roman"/>
        <family val="1"/>
      </rPr>
      <t>. We won't change it.</t>
    </r>
  </si>
  <si>
    <r>
      <t>0</t>
    </r>
    <r>
      <rPr>
        <sz val="11"/>
        <color theme="1"/>
        <rFont val="Times New Roman"/>
        <family val="1"/>
      </rPr>
      <t xml:space="preserve"> </t>
    </r>
    <r>
      <rPr>
        <i/>
        <sz val="11"/>
        <color theme="1"/>
        <rFont val="Times New Roman"/>
        <family val="1"/>
      </rPr>
      <t>(there are no borrowings; the preference shares shown are a separate financial liability)</t>
    </r>
  </si>
  <si>
    <r>
      <t xml:space="preserve">To keep the workbook clean and suitable for analysis, it's perfectly fine to </t>
    </r>
    <r>
      <rPr>
        <b/>
        <sz val="11"/>
        <color theme="1"/>
        <rFont val="Times New Roman"/>
        <family val="1"/>
      </rPr>
      <t>merge those smaller items into "Other Non-current Liabilities" and "Other Current Liabilities"</t>
    </r>
    <r>
      <rPr>
        <sz val="11"/>
        <color theme="1"/>
        <rFont val="Times New Roman"/>
        <family val="1"/>
      </rPr>
      <t>, as shown above. This keeps the totals exactly equal to the audited Balance Sheet while avoiding unnecessary complexity for your first financial model.</t>
    </r>
  </si>
  <si>
    <r>
      <t xml:space="preserve">Once you've entered these values, let me know. Then we'll build the </t>
    </r>
    <r>
      <rPr>
        <b/>
        <sz val="11"/>
        <color theme="1"/>
        <rFont val="Times New Roman"/>
        <family val="1"/>
      </rPr>
      <t>Ratio Analysis</t>
    </r>
    <r>
      <rPr>
        <sz val="11"/>
        <color theme="1"/>
        <rFont val="Times New Roman"/>
        <family val="1"/>
      </rPr>
      <t xml:space="preserve"> sheet, where this Balance Sheet will finally start doing the work it was created for.</t>
    </r>
  </si>
  <si>
    <r>
      <t>"Other Current Assets"</t>
    </r>
    <r>
      <rPr>
        <sz val="11"/>
        <color theme="1"/>
        <rFont val="Times New Roman"/>
        <family val="1"/>
      </rPr>
      <t xml:space="preserve"> was the culprit. That's one of those mistakes you make exactly once in financial modeling.</t>
    </r>
  </si>
  <si>
    <r>
      <t xml:space="preserve">We're building a </t>
    </r>
    <r>
      <rPr>
        <b/>
        <sz val="11"/>
        <color theme="1"/>
        <rFont val="Times New Roman"/>
        <family val="1"/>
      </rPr>
      <t>dynamic model</t>
    </r>
    <r>
      <rPr>
        <sz val="11"/>
        <color theme="1"/>
        <rFont val="Times New Roman"/>
        <family val="1"/>
      </rPr>
      <t>, not a report.</t>
    </r>
  </si>
  <si>
    <r>
      <t xml:space="preserve">If we simply opened the annual report every time, we'd have nothing to calculate. Your workbook becomes the </t>
    </r>
    <r>
      <rPr>
        <b/>
        <sz val="11"/>
        <color theme="1"/>
        <rFont val="Times New Roman"/>
        <family val="1"/>
      </rPr>
      <t>single source of truth</t>
    </r>
    <r>
      <rPr>
        <sz val="11"/>
        <color theme="1"/>
        <rFont val="Times New Roman"/>
        <family val="1"/>
      </rPr>
      <t xml:space="preserve"> for all later analyses.</t>
    </r>
  </si>
  <si>
    <r>
      <t xml:space="preserve">The </t>
    </r>
    <r>
      <rPr>
        <b/>
        <sz val="11"/>
        <color theme="1"/>
        <rFont val="Times New Roman"/>
        <family val="1"/>
      </rPr>
      <t>Consolidated Statement of Cash Flows</t>
    </r>
    <r>
      <rPr>
        <sz val="11"/>
        <color theme="1"/>
        <rFont val="Times New Roman"/>
        <family val="1"/>
      </rPr>
      <t xml:space="preserve"> is on:</t>
    </r>
  </si>
  <si>
    <r>
      <t>Printed page:</t>
    </r>
    <r>
      <rPr>
        <sz val="11"/>
        <color theme="1"/>
        <rFont val="Times New Roman"/>
        <family val="1"/>
      </rPr>
      <t xml:space="preserve"> </t>
    </r>
    <r>
      <rPr>
        <b/>
        <sz val="11"/>
        <color theme="1"/>
        <rFont val="Times New Roman"/>
        <family val="1"/>
      </rPr>
      <t>202</t>
    </r>
  </si>
  <si>
    <r>
      <t>PDF page:</t>
    </r>
    <r>
      <rPr>
        <sz val="11"/>
        <color theme="1"/>
        <rFont val="Times New Roman"/>
        <family val="1"/>
      </rPr>
      <t xml:space="preserve"> </t>
    </r>
    <r>
      <rPr>
        <b/>
        <sz val="11"/>
        <color theme="1"/>
        <rFont val="Times New Roman"/>
        <family val="1"/>
      </rPr>
      <t>172</t>
    </r>
    <r>
      <rPr>
        <sz val="11"/>
        <color theme="1"/>
        <rFont val="Times New Roman"/>
        <family val="1"/>
      </rPr>
      <t xml:space="preserve"> (approximately, because the report has front matter before the financial statements)</t>
    </r>
  </si>
  <si>
    <r>
      <t xml:space="preserve">For the </t>
    </r>
    <r>
      <rPr>
        <b/>
        <sz val="11"/>
        <color theme="1"/>
        <rFont val="Times New Roman"/>
        <family val="1"/>
      </rPr>
      <t>Income Statement</t>
    </r>
    <r>
      <rPr>
        <sz val="11"/>
        <color theme="1"/>
        <rFont val="Times New Roman"/>
        <family val="1"/>
      </rPr>
      <t xml:space="preserve"> and </t>
    </r>
    <r>
      <rPr>
        <b/>
        <sz val="11"/>
        <color theme="1"/>
        <rFont val="Times New Roman"/>
        <family val="1"/>
      </rPr>
      <t>Balance Sheet</t>
    </r>
    <r>
      <rPr>
        <sz val="11"/>
        <color theme="1"/>
        <rFont val="Times New Roman"/>
        <family val="1"/>
      </rPr>
      <t>, it made sense to simplify a little.</t>
    </r>
  </si>
  <si>
    <r>
      <t xml:space="preserve">For the </t>
    </r>
    <r>
      <rPr>
        <b/>
        <sz val="11"/>
        <color theme="1"/>
        <rFont val="Times New Roman"/>
        <family val="1"/>
      </rPr>
      <t>Cash Flow Statement</t>
    </r>
    <r>
      <rPr>
        <sz val="11"/>
        <color theme="1"/>
        <rFont val="Times New Roman"/>
        <family val="1"/>
      </rPr>
      <t xml:space="preserve">, I </t>
    </r>
    <r>
      <rPr>
        <b/>
        <sz val="11"/>
        <color theme="1"/>
        <rFont val="Times New Roman"/>
        <family val="1"/>
      </rPr>
      <t>don't</t>
    </r>
    <r>
      <rPr>
        <sz val="11"/>
        <color theme="1"/>
        <rFont val="Times New Roman"/>
        <family val="1"/>
      </rPr>
      <t xml:space="preserve"> recommend simplifying initially.</t>
    </r>
  </si>
  <si>
    <r>
      <t xml:space="preserve">3. Once we're forecasting, we'll create a </t>
    </r>
    <r>
      <rPr>
        <b/>
        <sz val="11"/>
        <color theme="1"/>
        <rFont val="Times New Roman"/>
        <family val="1"/>
      </rPr>
      <t>Forecast Cash Flow</t>
    </r>
    <r>
      <rPr>
        <sz val="11"/>
        <color theme="1"/>
        <rFont val="Times New Roman"/>
        <family val="1"/>
      </rPr>
      <t xml:space="preserve"> underneath using formulas.</t>
    </r>
  </si>
  <si>
    <r>
      <t xml:space="preserve">The Cash Flow Statement is </t>
    </r>
    <r>
      <rPr>
        <b/>
        <sz val="11"/>
        <color theme="1"/>
        <rFont val="Times New Roman"/>
        <family val="1"/>
      </rPr>
      <t>much easier than the Balance Sheet</t>
    </r>
    <r>
      <rPr>
        <sz val="11"/>
        <color theme="1"/>
        <rFont val="Times New Roman"/>
        <family val="1"/>
      </rPr>
      <t>.</t>
    </r>
  </si>
  <si>
    <r>
      <t xml:space="preserve">We'll mostly be linking values and a few reconciliation formulas. I expect it to take </t>
    </r>
    <r>
      <rPr>
        <b/>
        <sz val="11"/>
        <color theme="1"/>
        <rFont val="Times New Roman"/>
        <family val="1"/>
      </rPr>
      <t>20–30 minutes</t>
    </r>
    <r>
      <rPr>
        <sz val="11"/>
        <color theme="1"/>
        <rFont val="Times New Roman"/>
        <family val="1"/>
      </rPr>
      <t>, compared to the hours we spent reconciling the Balance Sheet.</t>
    </r>
  </si>
  <si>
    <r>
      <t xml:space="preserve">Absolutely. I can extract </t>
    </r>
    <r>
      <rPr>
        <b/>
        <sz val="11"/>
        <color theme="1"/>
        <rFont val="Times New Roman"/>
        <family val="1"/>
      </rPr>
      <t>FY24, FY23, FY22 and FY21</t>
    </r>
    <r>
      <rPr>
        <sz val="11"/>
        <color theme="1"/>
        <rFont val="Times New Roman"/>
        <family val="1"/>
      </rPr>
      <t xml:space="preserve"> into the </t>
    </r>
    <r>
      <rPr>
        <b/>
        <sz val="11"/>
        <color theme="1"/>
        <rFont val="Times New Roman"/>
        <family val="1"/>
      </rPr>
      <t>exact same row order and wording</t>
    </r>
    <r>
      <rPr>
        <sz val="11"/>
        <color theme="1"/>
        <rFont val="Times New Roman"/>
        <family val="1"/>
      </rPr>
      <t xml:space="preserve"> as your workbook so you can paste them directly.</t>
    </r>
  </si>
  <si>
    <r>
      <t xml:space="preserve">However, I </t>
    </r>
    <r>
      <rPr>
        <b/>
        <sz val="11"/>
        <color theme="1"/>
        <rFont val="Times New Roman"/>
        <family val="1"/>
      </rPr>
      <t>can't reliably do that in a single chat response</t>
    </r>
    <r>
      <rPr>
        <sz val="11"/>
        <color theme="1"/>
        <rFont val="Times New Roman"/>
        <family val="1"/>
      </rPr>
      <t xml:space="preserve"> because:</t>
    </r>
  </si>
  <si>
    <r>
      <t xml:space="preserve">There are </t>
    </r>
    <r>
      <rPr>
        <b/>
        <sz val="11"/>
        <color theme="1"/>
        <rFont val="Times New Roman"/>
        <family val="1"/>
      </rPr>
      <t>4 annual reports (2021–22 to 2024–25)</t>
    </r>
    <r>
      <rPr>
        <sz val="11"/>
        <color theme="1"/>
        <rFont val="Times New Roman"/>
        <family val="1"/>
      </rPr>
      <t>.</t>
    </r>
  </si>
  <si>
    <r>
      <t xml:space="preserve">You need </t>
    </r>
    <r>
      <rPr>
        <b/>
        <sz val="11"/>
        <color theme="1"/>
        <rFont val="Times New Roman"/>
        <family val="1"/>
      </rPr>
      <t>both the Balance Sheet and Cash Flow Statement</t>
    </r>
    <r>
      <rPr>
        <sz val="11"/>
        <color theme="1"/>
        <rFont val="Times New Roman"/>
        <family val="1"/>
      </rPr>
      <t>.</t>
    </r>
  </si>
  <si>
    <r>
      <t xml:space="preserve">That's roughly </t>
    </r>
    <r>
      <rPr>
        <b/>
        <sz val="11"/>
        <color theme="1"/>
        <rFont val="Times New Roman"/>
        <family val="1"/>
      </rPr>
      <t>150–200 line items</t>
    </r>
    <r>
      <rPr>
        <sz val="11"/>
        <color theme="1"/>
        <rFont val="Times New Roman"/>
        <family val="1"/>
      </rPr>
      <t xml:space="preserve"> across four years, which exceeds the maximum response length.</t>
    </r>
  </si>
  <si>
    <r>
      <t xml:space="preserve">We'll do it in </t>
    </r>
    <r>
      <rPr>
        <b/>
        <sz val="11"/>
        <color theme="1"/>
        <rFont val="Times New Roman"/>
        <family val="1"/>
      </rPr>
      <t>4 parts</t>
    </r>
    <r>
      <rPr>
        <sz val="11"/>
        <color theme="1"/>
        <rFont val="Times New Roman"/>
        <family val="1"/>
      </rPr>
      <t>, preserving your exact sheet layout.</t>
    </r>
  </si>
  <si>
    <r>
      <t xml:space="preserve">Follow </t>
    </r>
    <r>
      <rPr>
        <b/>
        <sz val="11"/>
        <color theme="1"/>
        <rFont val="Times New Roman"/>
        <family val="1"/>
      </rPr>
      <t>your workbook row order exactly</t>
    </r>
    <r>
      <rPr>
        <sz val="11"/>
        <color theme="1"/>
        <rFont val="Times New Roman"/>
        <family val="1"/>
      </rPr>
      <t>.</t>
    </r>
  </si>
  <si>
    <r>
      <t xml:space="preserve">Use the </t>
    </r>
    <r>
      <rPr>
        <b/>
        <sz val="11"/>
        <color theme="1"/>
        <rFont val="Times New Roman"/>
        <family val="1"/>
      </rPr>
      <t>same headings and line-item names</t>
    </r>
    <r>
      <rPr>
        <sz val="11"/>
        <color theme="1"/>
        <rFont val="Times New Roman"/>
        <family val="1"/>
      </rPr>
      <t xml:space="preserve"> as your Excel.</t>
    </r>
  </si>
  <si>
    <r>
      <t xml:space="preserve">Be ready for </t>
    </r>
    <r>
      <rPr>
        <b/>
        <sz val="11"/>
        <color theme="1"/>
        <rFont val="Times New Roman"/>
        <family val="1"/>
      </rPr>
      <t>copy-paste into Excel</t>
    </r>
    <r>
      <rPr>
        <sz val="11"/>
        <color theme="1"/>
        <rFont val="Times New Roman"/>
        <family val="1"/>
      </rPr>
      <t>.</t>
    </r>
  </si>
  <si>
    <r>
      <t xml:space="preserve">I can't accurately provide the numbers without reading those pages, and I don't want to fabricate financial statement values. Once those Cash Flow pages are read, I can give you the entire statement in your exact row order with </t>
    </r>
    <r>
      <rPr>
        <b/>
        <sz val="11"/>
        <color theme="1"/>
        <rFont val="Times New Roman"/>
        <family val="1"/>
      </rPr>
      <t>only the values</t>
    </r>
    <r>
      <rPr>
        <sz val="11"/>
        <color theme="1"/>
        <rFont val="Times New Roman"/>
        <family val="1"/>
      </rPr>
      <t>, just like we did for the Balance Sheet.</t>
    </r>
  </si>
  <si>
    <r>
      <t xml:space="preserve">Yes, </t>
    </r>
    <r>
      <rPr>
        <b/>
        <sz val="11"/>
        <color theme="1"/>
        <rFont val="Times New Roman"/>
        <family val="1"/>
      </rPr>
      <t>this</t>
    </r>
    <r>
      <rPr>
        <sz val="11"/>
        <color theme="1"/>
        <rFont val="Times New Roman"/>
        <family val="1"/>
      </rPr>
      <t xml:space="preserve"> is the format I understood from the beginning. Thanks for sending the screenshots again.</t>
    </r>
  </si>
  <si>
    <r>
      <t xml:space="preserve">I'll give you </t>
    </r>
    <r>
      <rPr>
        <b/>
        <sz val="11"/>
        <color theme="1"/>
        <rFont val="Times New Roman"/>
        <family val="1"/>
      </rPr>
      <t>exactly like this</t>
    </r>
    <r>
      <rPr>
        <sz val="11"/>
        <color theme="1"/>
        <rFont val="Times New Roman"/>
        <family val="1"/>
      </rPr>
      <t>:</t>
    </r>
  </si>
  <si>
    <r>
      <t xml:space="preserve">The only issue is that </t>
    </r>
    <r>
      <rPr>
        <b/>
        <sz val="11"/>
        <color theme="1"/>
        <rFont val="Times New Roman"/>
        <family val="1"/>
      </rPr>
      <t>the screenshots you've sent are your Excel template (FY26/FY25)</t>
    </r>
    <r>
      <rPr>
        <sz val="11"/>
        <color theme="1"/>
        <rFont val="Times New Roman"/>
        <family val="1"/>
      </rPr>
      <t xml:space="preserve">. They </t>
    </r>
    <r>
      <rPr>
        <b/>
        <sz val="11"/>
        <color theme="1"/>
        <rFont val="Times New Roman"/>
        <family val="1"/>
      </rPr>
      <t>don't contain the FY24/FY23/FY22/FY21 values</t>
    </r>
    <r>
      <rPr>
        <sz val="11"/>
        <color theme="1"/>
        <rFont val="Times New Roman"/>
        <family val="1"/>
      </rPr>
      <t>—those values are in the PDF screenshots you sent earlier.</t>
    </r>
  </si>
  <si>
    <r>
      <t xml:space="preserve">There are about </t>
    </r>
    <r>
      <rPr>
        <b/>
        <sz val="11"/>
        <color theme="1"/>
        <rFont val="Times New Roman"/>
        <family val="1"/>
      </rPr>
      <t>80–90 individual cash flow figures</t>
    </r>
    <r>
      <rPr>
        <sz val="11"/>
        <color theme="1"/>
        <rFont val="Times New Roman"/>
        <family val="1"/>
      </rPr>
      <t xml:space="preserve"> to extract. Doing all of them accurately from screenshots in one response isn't feasible because of the message length.</t>
    </r>
  </si>
  <si>
    <r>
      <t xml:space="preserve">So I'll send them </t>
    </r>
    <r>
      <rPr>
        <b/>
        <sz val="11"/>
        <color theme="1"/>
        <rFont val="Times New Roman"/>
        <family val="1"/>
      </rPr>
      <t>section by section</t>
    </r>
    <r>
      <rPr>
        <sz val="11"/>
        <color theme="1"/>
        <rFont val="Times New Roman"/>
        <family val="1"/>
      </rPr>
      <t xml:space="preserve"> in this exact format:</t>
    </r>
  </si>
  <si>
    <r>
      <t xml:space="preserve">Each section will have </t>
    </r>
    <r>
      <rPr>
        <b/>
        <sz val="11"/>
        <color theme="1"/>
        <rFont val="Times New Roman"/>
        <family val="1"/>
      </rPr>
      <t>only values</t>
    </r>
    <r>
      <rPr>
        <sz val="11"/>
        <color theme="1"/>
        <rFont val="Times New Roman"/>
        <family val="1"/>
      </rPr>
      <t xml:space="preserve"> in the same layout as your sheet. That way you can paste each block directly without any editing.</t>
    </r>
  </si>
  <si>
    <t>Row Labels</t>
  </si>
  <si>
    <t>Grand Total</t>
  </si>
  <si>
    <t>2026</t>
  </si>
  <si>
    <t>2025</t>
  </si>
  <si>
    <t>2024</t>
  </si>
  <si>
    <t>2023</t>
  </si>
  <si>
    <t>2022</t>
  </si>
  <si>
    <t>2021</t>
  </si>
  <si>
    <t>Column Labels</t>
  </si>
  <si>
    <t>Values</t>
  </si>
  <si>
    <t>Operating CF</t>
  </si>
  <si>
    <t>Investing CF</t>
  </si>
  <si>
    <t>Financing CF</t>
  </si>
  <si>
    <t>FY21   |   FY22   |   FY23   |   FY24   |   FY25 |   FY26</t>
  </si>
  <si>
    <t>ROA</t>
  </si>
  <si>
    <t>ROCE</t>
  </si>
  <si>
    <t>ROE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</si>
</sst>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
    <numFmt numFmtId="165" formatCode="#,##0;\(#,##0\)"/>
    <numFmt numFmtId="166" formatCode="0.0000"/>
    <numFmt numFmtId="167" formatCode="0.000"/>
    <numFmt numFmtId="168" formatCode="0.0"/>
  </numFmts>
  <fonts count="24" x14ac:knownFonts="1">
    <font>
      <sz val="11"/>
      <color theme="1"/>
      <name val="Calibri"/>
      <family val="2"/>
      <scheme val="minor"/>
    </font>
    <font>
      <b/>
      <sz val="14"/>
      <color theme="1"/>
      <name val="Times New Roman"/>
      <family val="1"/>
    </font>
    <font>
      <sz val="11"/>
      <color theme="1"/>
      <name val="Times New Roman"/>
      <family val="1"/>
    </font>
    <font>
      <sz val="14"/>
      <color theme="1"/>
      <name val="Times New Roman"/>
      <family val="1"/>
    </font>
    <font>
      <b/>
      <sz val="13"/>
      <color theme="1"/>
      <name val="Calibri"/>
      <family val="2"/>
      <scheme val="minor"/>
    </font>
    <font>
      <b/>
      <sz val="13"/>
      <color theme="1"/>
      <name val="Times New Roman"/>
      <family val="1"/>
    </font>
    <font>
      <sz val="13"/>
      <color theme="1"/>
      <name val="Times New Roman"/>
      <family val="1"/>
    </font>
    <font>
      <i/>
      <sz val="13"/>
      <color theme="1"/>
      <name val="Times New Roman"/>
      <family val="1"/>
    </font>
    <font>
      <b/>
      <sz val="28"/>
      <color theme="1"/>
      <name val="Times New Roman"/>
      <family val="1"/>
    </font>
    <font>
      <b/>
      <sz val="20"/>
      <color theme="1"/>
      <name val="Times New Roman"/>
      <family val="1"/>
    </font>
    <font>
      <b/>
      <sz val="16"/>
      <color theme="0"/>
      <name val="Times New Roman"/>
      <family val="1"/>
    </font>
    <font>
      <b/>
      <sz val="24"/>
      <color theme="1"/>
      <name val="Times New Roman"/>
      <family val="1"/>
    </font>
    <font>
      <b/>
      <sz val="26"/>
      <color theme="1"/>
      <name val="Times New Roman"/>
      <family val="1"/>
    </font>
    <font>
      <b/>
      <sz val="20"/>
      <color theme="1" tint="4.9989318521683403E-2"/>
      <name val="Times New Roman"/>
      <family val="1"/>
    </font>
    <font>
      <sz val="8"/>
      <color theme="1"/>
      <name val="Times New Roman"/>
      <family val="1"/>
    </font>
    <font>
      <b/>
      <sz val="16"/>
      <color theme="1"/>
      <name val="Times New Roman"/>
      <family val="1"/>
    </font>
    <font>
      <b/>
      <sz val="11"/>
      <color theme="1"/>
      <name val="Times New Roman"/>
      <family val="1"/>
    </font>
    <font>
      <sz val="10"/>
      <color theme="1"/>
      <name val="Times New Roman"/>
      <family val="1"/>
    </font>
    <font>
      <i/>
      <sz val="11"/>
      <color theme="1"/>
      <name val="Times New Roman"/>
      <family val="1"/>
    </font>
    <font>
      <b/>
      <sz val="18"/>
      <color theme="1"/>
      <name val="Times New Roman"/>
      <family val="1"/>
    </font>
    <font>
      <b/>
      <sz val="13.5"/>
      <color theme="1"/>
      <name val="Times New Roman"/>
      <family val="1"/>
    </font>
    <font>
      <b/>
      <sz val="28"/>
      <color theme="0"/>
      <name val="Times New Roman"/>
      <family val="1"/>
    </font>
    <font>
      <sz val="13"/>
      <color theme="0"/>
      <name val="Times New Roman"/>
      <family val="1"/>
    </font>
    <font>
      <b/>
      <sz val="16"/>
      <name val="Times New Roman"/>
      <family val="1"/>
    </font>
  </fonts>
  <fills count="1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0"/>
        <bgColor indexed="64"/>
      </patternFill>
    </fill>
    <fill>
      <patternFill patternType="solid">
        <fgColor theme="8" tint="0.39997558519241921"/>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55">
    <xf numFmtId="0" fontId="0" fillId="0" borderId="0" xfId="0"/>
    <xf numFmtId="0" fontId="1" fillId="0" borderId="18" xfId="0" applyFont="1" applyBorder="1" applyAlignment="1">
      <alignment horizontal="right" vertical="center" wrapText="1"/>
    </xf>
    <xf numFmtId="0" fontId="1" fillId="0" borderId="19" xfId="0" applyFont="1" applyBorder="1" applyAlignment="1">
      <alignment horizontal="right" vertical="center" wrapText="1"/>
    </xf>
    <xf numFmtId="0" fontId="2" fillId="0" borderId="0" xfId="0" applyFont="1"/>
    <xf numFmtId="3" fontId="3" fillId="0" borderId="12" xfId="0" applyNumberFormat="1" applyFont="1" applyBorder="1" applyAlignment="1">
      <alignment horizontal="right" vertical="center" wrapText="1"/>
    </xf>
    <xf numFmtId="3" fontId="3" fillId="0" borderId="5" xfId="0" applyNumberFormat="1" applyFont="1" applyBorder="1" applyAlignment="1">
      <alignment horizontal="right" vertical="center" wrapText="1"/>
    </xf>
    <xf numFmtId="0" fontId="3" fillId="0" borderId="13" xfId="0" applyFont="1" applyBorder="1" applyAlignment="1">
      <alignment horizontal="right" vertical="center" wrapText="1"/>
    </xf>
    <xf numFmtId="0" fontId="3" fillId="0" borderId="8" xfId="0" applyFont="1" applyBorder="1" applyAlignment="1">
      <alignment horizontal="right" vertical="center" wrapText="1"/>
    </xf>
    <xf numFmtId="0" fontId="1" fillId="0" borderId="16" xfId="0" applyFont="1" applyBorder="1" applyAlignment="1">
      <alignment horizontal="center" vertical="center" wrapText="1"/>
    </xf>
    <xf numFmtId="0" fontId="1" fillId="0" borderId="17" xfId="0" applyFont="1" applyBorder="1" applyAlignment="1">
      <alignment horizontal="right" vertical="center" wrapText="1"/>
    </xf>
    <xf numFmtId="0" fontId="3" fillId="0" borderId="0" xfId="0" applyFont="1"/>
    <xf numFmtId="0" fontId="1" fillId="0" borderId="9" xfId="0" applyFont="1" applyBorder="1" applyAlignment="1">
      <alignment vertical="center" wrapText="1"/>
    </xf>
    <xf numFmtId="3" fontId="3" fillId="0" borderId="0" xfId="0" applyNumberFormat="1" applyFont="1" applyAlignment="1">
      <alignment horizontal="righ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7" xfId="0" applyFont="1" applyBorder="1" applyAlignment="1">
      <alignment horizontal="right" vertical="center" wrapText="1"/>
    </xf>
    <xf numFmtId="0" fontId="1" fillId="0" borderId="0" xfId="0" applyFont="1" applyAlignment="1">
      <alignment vertical="center" wrapText="1"/>
    </xf>
    <xf numFmtId="3" fontId="1" fillId="0" borderId="0" xfId="0" applyNumberFormat="1" applyFont="1" applyAlignment="1">
      <alignment vertical="center" wrapText="1"/>
    </xf>
    <xf numFmtId="3" fontId="3" fillId="0" borderId="0" xfId="0" applyNumberFormat="1" applyFont="1" applyAlignment="1">
      <alignment vertical="center" wrapText="1"/>
    </xf>
    <xf numFmtId="0" fontId="3" fillId="0" borderId="0" xfId="0" applyFont="1" applyAlignment="1">
      <alignment vertical="center" wrapText="1"/>
    </xf>
    <xf numFmtId="3" fontId="3" fillId="0" borderId="8" xfId="0" applyNumberFormat="1" applyFont="1" applyBorder="1" applyAlignment="1">
      <alignment horizontal="right" vertical="center" wrapText="1"/>
    </xf>
    <xf numFmtId="0" fontId="5" fillId="0" borderId="1" xfId="0" applyFont="1" applyBorder="1" applyAlignment="1">
      <alignment horizontal="center" vertical="center" wrapText="1"/>
    </xf>
    <xf numFmtId="0" fontId="6" fillId="0" borderId="0" xfId="0" applyFont="1"/>
    <xf numFmtId="0" fontId="5" fillId="2" borderId="6" xfId="0" applyFont="1" applyFill="1" applyBorder="1" applyAlignment="1">
      <alignment vertical="center" wrapText="1"/>
    </xf>
    <xf numFmtId="0" fontId="6" fillId="0" borderId="4" xfId="0" applyFont="1" applyBorder="1" applyAlignment="1">
      <alignment vertical="center" wrapText="1"/>
    </xf>
    <xf numFmtId="0" fontId="5" fillId="2" borderId="24" xfId="0" applyFont="1" applyFill="1" applyBorder="1" applyAlignment="1">
      <alignment vertical="center" wrapText="1"/>
    </xf>
    <xf numFmtId="0" fontId="6" fillId="0" borderId="6" xfId="0" applyFont="1" applyBorder="1" applyAlignment="1">
      <alignment vertical="center" wrapText="1"/>
    </xf>
    <xf numFmtId="0" fontId="6" fillId="0" borderId="4" xfId="0" applyFont="1" applyBorder="1"/>
    <xf numFmtId="0" fontId="6" fillId="0" borderId="5" xfId="0" applyFont="1" applyBorder="1"/>
    <xf numFmtId="0" fontId="5" fillId="0" borderId="22" xfId="0" applyFont="1" applyBorder="1" applyAlignment="1">
      <alignment horizontal="center" vertical="center" wrapText="1"/>
    </xf>
    <xf numFmtId="164" fontId="6" fillId="0" borderId="0" xfId="0" applyNumberFormat="1" applyFont="1"/>
    <xf numFmtId="0" fontId="6" fillId="0" borderId="0" xfId="0" applyFont="1" applyAlignment="1">
      <alignment horizontal="center"/>
    </xf>
    <xf numFmtId="0" fontId="5" fillId="0" borderId="0" xfId="0" applyFont="1"/>
    <xf numFmtId="165" fontId="6" fillId="0" borderId="12" xfId="0" applyNumberFormat="1" applyFont="1" applyBorder="1" applyAlignment="1">
      <alignment vertical="center" wrapText="1"/>
    </xf>
    <xf numFmtId="0" fontId="6" fillId="0" borderId="20" xfId="0" applyFont="1" applyBorder="1" applyAlignment="1">
      <alignment vertical="center" wrapText="1"/>
    </xf>
    <xf numFmtId="165" fontId="6" fillId="0" borderId="18" xfId="0" applyNumberFormat="1" applyFont="1" applyBorder="1" applyAlignment="1">
      <alignment vertical="center" wrapText="1"/>
    </xf>
    <xf numFmtId="0" fontId="6" fillId="0" borderId="22" xfId="0" applyFont="1" applyBorder="1" applyAlignment="1">
      <alignment vertical="center" wrapText="1"/>
    </xf>
    <xf numFmtId="165" fontId="6" fillId="0" borderId="26" xfId="0" applyNumberFormat="1" applyFont="1" applyBorder="1" applyAlignment="1">
      <alignment vertical="center" wrapText="1"/>
    </xf>
    <xf numFmtId="165" fontId="6" fillId="0" borderId="12" xfId="0" applyNumberFormat="1" applyFont="1" applyBorder="1" applyAlignment="1">
      <alignment horizontal="right" vertical="center" wrapText="1"/>
    </xf>
    <xf numFmtId="167" fontId="0" fillId="0" borderId="0" xfId="0" applyNumberFormat="1"/>
    <xf numFmtId="2" fontId="0" fillId="0" borderId="0" xfId="0" applyNumberFormat="1"/>
    <xf numFmtId="10" fontId="0" fillId="0" borderId="0" xfId="0" applyNumberFormat="1"/>
    <xf numFmtId="2" fontId="3" fillId="0" borderId="0" xfId="0" applyNumberFormat="1" applyFont="1" applyAlignment="1">
      <alignment vertical="center" wrapText="1"/>
    </xf>
    <xf numFmtId="165" fontId="6" fillId="0" borderId="21" xfId="0" applyNumberFormat="1" applyFont="1" applyBorder="1" applyAlignment="1">
      <alignment vertical="center" wrapText="1"/>
    </xf>
    <xf numFmtId="165" fontId="6" fillId="0" borderId="40" xfId="0" applyNumberFormat="1" applyFont="1" applyBorder="1" applyAlignment="1">
      <alignment vertical="center" wrapText="1"/>
    </xf>
    <xf numFmtId="165" fontId="6" fillId="0" borderId="14" xfId="0" applyNumberFormat="1" applyFont="1" applyBorder="1" applyAlignment="1">
      <alignment vertical="center" wrapText="1"/>
    </xf>
    <xf numFmtId="165" fontId="6" fillId="0" borderId="14" xfId="0" applyNumberFormat="1" applyFont="1" applyBorder="1" applyAlignment="1">
      <alignment horizontal="right" vertical="center" wrapText="1"/>
    </xf>
    <xf numFmtId="0" fontId="2" fillId="0" borderId="4" xfId="0" applyFont="1" applyBorder="1"/>
    <xf numFmtId="0" fontId="14" fillId="0" borderId="42" xfId="0" applyFont="1" applyBorder="1" applyAlignment="1">
      <alignment wrapText="1"/>
    </xf>
    <xf numFmtId="10" fontId="2" fillId="0" borderId="42" xfId="0" applyNumberFormat="1" applyFont="1" applyBorder="1"/>
    <xf numFmtId="9" fontId="2" fillId="0" borderId="42" xfId="0" applyNumberFormat="1" applyFont="1" applyBorder="1"/>
    <xf numFmtId="0" fontId="2" fillId="0" borderId="42" xfId="0" applyFont="1" applyBorder="1"/>
    <xf numFmtId="0" fontId="14" fillId="0" borderId="42" xfId="0" applyFont="1" applyBorder="1"/>
    <xf numFmtId="0" fontId="2" fillId="0" borderId="29" xfId="0" applyFont="1" applyBorder="1"/>
    <xf numFmtId="0" fontId="14" fillId="0" borderId="44" xfId="0" applyFont="1" applyBorder="1"/>
    <xf numFmtId="10" fontId="2" fillId="0" borderId="44" xfId="0" applyNumberFormat="1" applyFont="1" applyBorder="1"/>
    <xf numFmtId="0" fontId="2" fillId="0" borderId="44" xfId="0" applyFont="1" applyBorder="1"/>
    <xf numFmtId="2" fontId="2" fillId="0" borderId="42" xfId="0" applyNumberFormat="1" applyFont="1" applyBorder="1"/>
    <xf numFmtId="164" fontId="2" fillId="0" borderId="42" xfId="0" applyNumberFormat="1" applyFont="1" applyBorder="1"/>
    <xf numFmtId="0" fontId="14" fillId="0" borderId="44" xfId="0" applyFont="1" applyBorder="1" applyAlignment="1">
      <alignment wrapText="1"/>
    </xf>
    <xf numFmtId="168" fontId="2" fillId="0" borderId="44" xfId="0" applyNumberFormat="1" applyFont="1" applyBorder="1"/>
    <xf numFmtId="167" fontId="2" fillId="0" borderId="42" xfId="0" applyNumberFormat="1" applyFont="1" applyBorder="1"/>
    <xf numFmtId="167" fontId="2" fillId="0" borderId="44" xfId="0" applyNumberFormat="1" applyFont="1" applyBorder="1"/>
    <xf numFmtId="9" fontId="2" fillId="0" borderId="44" xfId="0" applyNumberFormat="1" applyFont="1" applyBorder="1"/>
    <xf numFmtId="166" fontId="2" fillId="0" borderId="42" xfId="0" applyNumberFormat="1" applyFont="1" applyBorder="1"/>
    <xf numFmtId="0" fontId="2" fillId="0" borderId="6" xfId="0" applyFont="1" applyBorder="1"/>
    <xf numFmtId="0" fontId="14" fillId="0" borderId="41" xfId="0" applyFont="1" applyBorder="1"/>
    <xf numFmtId="166" fontId="2" fillId="0" borderId="41" xfId="0" applyNumberFormat="1" applyFont="1" applyBorder="1"/>
    <xf numFmtId="9" fontId="2" fillId="0" borderId="41" xfId="0" applyNumberFormat="1" applyFont="1" applyBorder="1"/>
    <xf numFmtId="0" fontId="2" fillId="0" borderId="41" xfId="0" applyFont="1" applyBorder="1"/>
    <xf numFmtId="0" fontId="14" fillId="0" borderId="0" xfId="0" applyFont="1"/>
    <xf numFmtId="0" fontId="15" fillId="0" borderId="24" xfId="0" applyFont="1" applyBorder="1" applyAlignment="1">
      <alignment horizontal="center" vertical="center"/>
    </xf>
    <xf numFmtId="0" fontId="15" fillId="0" borderId="43" xfId="0" applyFont="1" applyBorder="1" applyAlignment="1">
      <alignment horizontal="center" vertical="center"/>
    </xf>
    <xf numFmtId="0" fontId="5" fillId="0" borderId="6" xfId="0" applyFont="1" applyBorder="1" applyAlignment="1">
      <alignment vertical="center" wrapText="1"/>
    </xf>
    <xf numFmtId="0" fontId="5" fillId="0" borderId="13" xfId="0" applyFont="1" applyBorder="1" applyAlignment="1">
      <alignment vertical="center" wrapText="1"/>
    </xf>
    <xf numFmtId="0" fontId="5" fillId="0" borderId="15" xfId="0" applyFont="1" applyBorder="1" applyAlignment="1">
      <alignment vertical="center" wrapText="1"/>
    </xf>
    <xf numFmtId="0" fontId="5" fillId="0" borderId="24" xfId="0" applyFont="1" applyBorder="1" applyAlignment="1">
      <alignment horizontal="left" vertical="center" wrapText="1"/>
    </xf>
    <xf numFmtId="3" fontId="2" fillId="0" borderId="5" xfId="0" applyNumberFormat="1" applyFont="1" applyBorder="1" applyAlignment="1">
      <alignment vertical="center" wrapText="1"/>
    </xf>
    <xf numFmtId="0" fontId="2" fillId="0" borderId="5" xfId="0" applyFont="1" applyBorder="1" applyAlignment="1">
      <alignment vertical="center" wrapText="1"/>
    </xf>
    <xf numFmtId="0" fontId="2" fillId="0" borderId="34" xfId="0" applyFont="1" applyBorder="1"/>
    <xf numFmtId="0" fontId="2" fillId="0" borderId="25" xfId="0" applyFont="1" applyBorder="1"/>
    <xf numFmtId="0" fontId="16" fillId="0" borderId="0" xfId="0" applyFont="1"/>
    <xf numFmtId="0" fontId="2" fillId="0" borderId="0" xfId="0" applyFont="1" applyAlignment="1">
      <alignment horizontal="left" vertical="center" indent="1"/>
    </xf>
    <xf numFmtId="0" fontId="19" fillId="0" borderId="0" xfId="0" applyFont="1" applyAlignment="1">
      <alignment vertical="center"/>
    </xf>
    <xf numFmtId="0" fontId="11" fillId="0" borderId="0" xfId="0" applyFont="1" applyAlignment="1">
      <alignment vertical="center"/>
    </xf>
    <xf numFmtId="0" fontId="2" fillId="0" borderId="0" xfId="0" applyFont="1" applyAlignment="1">
      <alignment vertical="center"/>
    </xf>
    <xf numFmtId="0" fontId="17" fillId="0" borderId="0" xfId="0" applyFont="1" applyAlignment="1">
      <alignment vertical="center"/>
    </xf>
    <xf numFmtId="0" fontId="16" fillId="0" borderId="0" xfId="0" applyFont="1" applyAlignment="1">
      <alignment horizontal="center" vertical="center" wrapText="1"/>
    </xf>
    <xf numFmtId="0" fontId="2" fillId="0" borderId="0" xfId="0" applyFont="1" applyAlignment="1">
      <alignment vertical="center" wrapText="1"/>
    </xf>
    <xf numFmtId="3" fontId="2" fillId="0" borderId="0" xfId="0" applyNumberFormat="1" applyFont="1" applyAlignment="1">
      <alignment vertical="center" wrapText="1"/>
    </xf>
    <xf numFmtId="3" fontId="16" fillId="0" borderId="0" xfId="0" applyNumberFormat="1" applyFont="1" applyAlignment="1">
      <alignment vertical="center" wrapText="1"/>
    </xf>
    <xf numFmtId="0" fontId="16" fillId="0" borderId="0" xfId="0" applyFont="1" applyAlignment="1">
      <alignment vertical="center" wrapText="1"/>
    </xf>
    <xf numFmtId="0" fontId="20" fillId="0" borderId="0" xfId="0" applyFont="1" applyAlignment="1">
      <alignment vertical="center"/>
    </xf>
    <xf numFmtId="0" fontId="16" fillId="0" borderId="0" xfId="0" applyFont="1" applyAlignment="1">
      <alignment horizontal="left" vertical="center" indent="1"/>
    </xf>
    <xf numFmtId="3" fontId="2" fillId="0" borderId="28" xfId="0" applyNumberFormat="1" applyFont="1" applyBorder="1" applyAlignment="1">
      <alignment vertical="center" wrapText="1"/>
    </xf>
    <xf numFmtId="3" fontId="2" fillId="0" borderId="23" xfId="0" applyNumberFormat="1" applyFont="1" applyBorder="1" applyAlignment="1">
      <alignment vertical="center" wrapText="1"/>
    </xf>
    <xf numFmtId="3" fontId="2" fillId="0" borderId="26" xfId="0" applyNumberFormat="1" applyFont="1" applyBorder="1" applyAlignment="1">
      <alignment vertical="center" wrapText="1"/>
    </xf>
    <xf numFmtId="0" fontId="2" fillId="0" borderId="12" xfId="0" applyFont="1" applyBorder="1" applyAlignment="1">
      <alignment vertical="center" wrapText="1"/>
    </xf>
    <xf numFmtId="3" fontId="2" fillId="0" borderId="12" xfId="0" applyNumberFormat="1" applyFont="1" applyBorder="1" applyAlignment="1">
      <alignment vertical="center" wrapText="1"/>
    </xf>
    <xf numFmtId="0" fontId="2" fillId="0" borderId="11" xfId="0" applyFont="1" applyBorder="1" applyAlignment="1">
      <alignment vertical="center" wrapText="1"/>
    </xf>
    <xf numFmtId="0" fontId="5" fillId="10" borderId="22" xfId="0" applyFont="1" applyFill="1" applyBorder="1" applyAlignment="1">
      <alignment vertical="center" wrapText="1"/>
    </xf>
    <xf numFmtId="165" fontId="5" fillId="10" borderId="26" xfId="0" applyNumberFormat="1" applyFont="1" applyFill="1" applyBorder="1" applyAlignment="1">
      <alignment vertical="center" wrapText="1"/>
    </xf>
    <xf numFmtId="165" fontId="5" fillId="10" borderId="28" xfId="0" applyNumberFormat="1" applyFont="1" applyFill="1" applyBorder="1" applyAlignment="1">
      <alignment vertical="center" wrapText="1"/>
    </xf>
    <xf numFmtId="165" fontId="5" fillId="10" borderId="23" xfId="0" applyNumberFormat="1" applyFont="1" applyFill="1" applyBorder="1" applyAlignment="1">
      <alignment vertical="center" wrapText="1"/>
    </xf>
    <xf numFmtId="0" fontId="5" fillId="10" borderId="24" xfId="0" applyFont="1" applyFill="1" applyBorder="1" applyAlignment="1">
      <alignment vertical="center" wrapText="1"/>
    </xf>
    <xf numFmtId="165" fontId="5" fillId="10" borderId="27" xfId="0" applyNumberFormat="1" applyFont="1" applyFill="1" applyBorder="1" applyAlignment="1">
      <alignment vertical="center" wrapText="1"/>
    </xf>
    <xf numFmtId="165" fontId="5" fillId="10" borderId="38" xfId="0" applyNumberFormat="1" applyFont="1" applyFill="1" applyBorder="1" applyAlignment="1">
      <alignment vertical="center" wrapText="1"/>
    </xf>
    <xf numFmtId="165" fontId="5" fillId="10" borderId="25" xfId="0" applyNumberFormat="1" applyFont="1" applyFill="1" applyBorder="1" applyAlignment="1">
      <alignment vertical="center" wrapText="1"/>
    </xf>
    <xf numFmtId="0" fontId="5" fillId="10" borderId="46" xfId="0" applyFont="1" applyFill="1" applyBorder="1" applyAlignment="1">
      <alignment vertical="center" wrapText="1"/>
    </xf>
    <xf numFmtId="0" fontId="5" fillId="0" borderId="28" xfId="0" applyFont="1" applyBorder="1" applyAlignment="1">
      <alignment horizontal="center" vertical="center" wrapText="1"/>
    </xf>
    <xf numFmtId="165" fontId="5" fillId="0" borderId="27" xfId="0" applyNumberFormat="1" applyFont="1" applyBorder="1" applyAlignment="1">
      <alignment horizontal="left" vertical="center" wrapText="1"/>
    </xf>
    <xf numFmtId="165" fontId="5" fillId="0" borderId="38" xfId="0" applyNumberFormat="1" applyFont="1" applyBorder="1" applyAlignment="1">
      <alignment horizontal="left" vertical="center" wrapText="1"/>
    </xf>
    <xf numFmtId="0" fontId="16" fillId="0" borderId="27" xfId="0" applyFont="1" applyBorder="1" applyAlignment="1">
      <alignment horizontal="left" vertical="center" wrapText="1"/>
    </xf>
    <xf numFmtId="0" fontId="16" fillId="0" borderId="25" xfId="0" applyFont="1" applyBorder="1" applyAlignment="1">
      <alignment horizontal="left" vertical="center" wrapText="1"/>
    </xf>
    <xf numFmtId="0" fontId="2" fillId="0" borderId="0" xfId="0" applyFont="1" applyAlignment="1">
      <alignment horizontal="left"/>
    </xf>
    <xf numFmtId="0" fontId="6" fillId="0" borderId="0" xfId="0" applyFont="1" applyAlignment="1">
      <alignment horizontal="left"/>
    </xf>
    <xf numFmtId="0" fontId="12" fillId="0" borderId="0" xfId="0" applyFont="1"/>
    <xf numFmtId="3" fontId="6" fillId="0" borderId="0" xfId="0" applyNumberFormat="1" applyFont="1"/>
    <xf numFmtId="3" fontId="6" fillId="0" borderId="5" xfId="0" applyNumberFormat="1" applyFont="1" applyBorder="1"/>
    <xf numFmtId="0" fontId="6" fillId="0" borderId="6" xfId="0" applyFont="1" applyBorder="1"/>
    <xf numFmtId="0" fontId="6" fillId="0" borderId="8" xfId="0" applyFont="1" applyBorder="1"/>
    <xf numFmtId="3" fontId="6" fillId="0" borderId="7" xfId="0" applyNumberFormat="1" applyFont="1" applyBorder="1"/>
    <xf numFmtId="3" fontId="6" fillId="0" borderId="8" xfId="0" applyNumberFormat="1" applyFont="1" applyBorder="1"/>
    <xf numFmtId="0" fontId="5" fillId="0" borderId="30" xfId="0" applyFont="1" applyBorder="1"/>
    <xf numFmtId="0" fontId="5" fillId="0" borderId="31" xfId="0" applyFont="1" applyBorder="1"/>
    <xf numFmtId="0" fontId="5" fillId="0" borderId="32" xfId="0" applyFont="1" applyBorder="1"/>
    <xf numFmtId="3" fontId="6" fillId="0" borderId="12" xfId="0" applyNumberFormat="1" applyFont="1" applyBorder="1"/>
    <xf numFmtId="0" fontId="6" fillId="0" borderId="13" xfId="0" applyFont="1" applyBorder="1"/>
    <xf numFmtId="0" fontId="5" fillId="0" borderId="45" xfId="0" applyFont="1" applyBorder="1"/>
    <xf numFmtId="0" fontId="5" fillId="0" borderId="39" xfId="0" applyFont="1" applyBorder="1"/>
    <xf numFmtId="3" fontId="6" fillId="0" borderId="14" xfId="0" applyNumberFormat="1" applyFont="1" applyBorder="1"/>
    <xf numFmtId="0" fontId="6" fillId="0" borderId="15" xfId="0" applyFont="1" applyBorder="1"/>
    <xf numFmtId="0" fontId="5" fillId="0" borderId="37" xfId="0" applyFont="1" applyBorder="1"/>
    <xf numFmtId="0" fontId="6" fillId="0" borderId="9" xfId="0" applyFont="1" applyBorder="1"/>
    <xf numFmtId="0" fontId="6" fillId="0" borderId="10" xfId="0" applyFont="1" applyBorder="1"/>
    <xf numFmtId="3" fontId="6" fillId="0" borderId="15" xfId="0" applyNumberFormat="1" applyFont="1" applyBorder="1"/>
    <xf numFmtId="0" fontId="6" fillId="0" borderId="14" xfId="0" applyFont="1" applyBorder="1"/>
    <xf numFmtId="164" fontId="5" fillId="0" borderId="47" xfId="0" applyNumberFormat="1" applyFont="1" applyBorder="1" applyAlignment="1">
      <alignment horizontal="right" vertical="center" wrapText="1"/>
    </xf>
    <xf numFmtId="0" fontId="5" fillId="0" borderId="47" xfId="0" applyFont="1" applyBorder="1" applyAlignment="1">
      <alignment horizontal="right" vertical="center" wrapText="1"/>
    </xf>
    <xf numFmtId="164" fontId="6" fillId="0" borderId="42" xfId="0" applyNumberFormat="1" applyFont="1" applyBorder="1" applyAlignment="1">
      <alignment vertical="center" wrapText="1"/>
    </xf>
    <xf numFmtId="3" fontId="0" fillId="0" borderId="42" xfId="0" applyNumberFormat="1" applyBorder="1" applyAlignment="1">
      <alignment vertical="center" wrapText="1"/>
    </xf>
    <xf numFmtId="0" fontId="0" fillId="0" borderId="42" xfId="0" applyBorder="1" applyAlignment="1">
      <alignment vertical="center" wrapText="1"/>
    </xf>
    <xf numFmtId="164" fontId="6" fillId="2" borderId="41" xfId="0" applyNumberFormat="1" applyFont="1" applyFill="1" applyBorder="1" applyAlignment="1">
      <alignment horizontal="right" vertical="center" wrapText="1"/>
    </xf>
    <xf numFmtId="164" fontId="6" fillId="0" borderId="42" xfId="0" applyNumberFormat="1" applyFont="1" applyBorder="1" applyAlignment="1">
      <alignment horizontal="right" vertical="center" wrapText="1"/>
    </xf>
    <xf numFmtId="164" fontId="6" fillId="2" borderId="43" xfId="0" applyNumberFormat="1" applyFont="1" applyFill="1" applyBorder="1" applyAlignment="1">
      <alignment horizontal="right" vertical="center" wrapText="1"/>
    </xf>
    <xf numFmtId="164" fontId="6" fillId="0" borderId="41" xfId="0" applyNumberFormat="1" applyFont="1" applyBorder="1" applyAlignment="1">
      <alignment horizontal="right" vertical="center" wrapText="1"/>
    </xf>
    <xf numFmtId="164" fontId="6" fillId="0" borderId="42" xfId="0" applyNumberFormat="1" applyFont="1" applyBorder="1"/>
    <xf numFmtId="0" fontId="5" fillId="0" borderId="48" xfId="0" applyFont="1" applyBorder="1" applyAlignment="1">
      <alignment horizontal="right" vertical="center" wrapText="1"/>
    </xf>
    <xf numFmtId="164" fontId="5" fillId="0" borderId="49" xfId="0" applyNumberFormat="1" applyFont="1" applyBorder="1" applyAlignment="1">
      <alignment horizontal="right" vertical="center" wrapText="1"/>
    </xf>
    <xf numFmtId="164" fontId="6" fillId="0" borderId="26" xfId="0" applyNumberFormat="1" applyFont="1" applyBorder="1" applyAlignment="1">
      <alignment vertical="center" wrapText="1"/>
    </xf>
    <xf numFmtId="0" fontId="0" fillId="0" borderId="26" xfId="0" applyBorder="1" applyAlignment="1">
      <alignment vertical="center" wrapText="1"/>
    </xf>
    <xf numFmtId="164" fontId="6" fillId="0" borderId="48" xfId="0" applyNumberFormat="1" applyFont="1" applyBorder="1" applyAlignment="1">
      <alignment vertical="center" wrapText="1"/>
    </xf>
    <xf numFmtId="3" fontId="0" fillId="0" borderId="48" xfId="0" applyNumberFormat="1" applyBorder="1" applyAlignment="1">
      <alignment vertical="center" wrapText="1"/>
    </xf>
    <xf numFmtId="0" fontId="0" fillId="0" borderId="48" xfId="0" applyBorder="1" applyAlignment="1">
      <alignment vertical="center" wrapText="1"/>
    </xf>
    <xf numFmtId="2" fontId="2" fillId="0" borderId="44" xfId="0" applyNumberFormat="1" applyFont="1" applyBorder="1"/>
    <xf numFmtId="0" fontId="0" fillId="0" borderId="0" xfId="0" pivotButton="1"/>
    <xf numFmtId="0" fontId="0" fillId="0" borderId="0" xfId="0" applyAlignment="1">
      <alignment horizontal="left"/>
    </xf>
    <xf numFmtId="0" fontId="10" fillId="12" borderId="0" xfId="0" applyFont="1" applyFill="1" applyAlignment="1">
      <alignment vertical="center"/>
    </xf>
    <xf numFmtId="0" fontId="15" fillId="0" borderId="0" xfId="0" applyFont="1" applyAlignment="1">
      <alignment horizontal="center" vertical="center"/>
    </xf>
    <xf numFmtId="0" fontId="2" fillId="0" borderId="0" xfId="0" applyFont="1" applyAlignment="1">
      <alignment horizontal="center" vertical="center"/>
    </xf>
    <xf numFmtId="0" fontId="23" fillId="12" borderId="0" xfId="0" applyFont="1" applyFill="1" applyAlignment="1">
      <alignment vertical="center"/>
    </xf>
    <xf numFmtId="0" fontId="4" fillId="13" borderId="0" xfId="0" applyFont="1" applyFill="1" applyAlignment="1">
      <alignment vertical="center"/>
    </xf>
    <xf numFmtId="0" fontId="21" fillId="11" borderId="1" xfId="0" applyFont="1" applyFill="1" applyBorder="1" applyAlignment="1">
      <alignment horizontal="center"/>
    </xf>
    <xf numFmtId="0" fontId="22" fillId="11" borderId="2" xfId="0" applyFont="1" applyFill="1" applyBorder="1" applyAlignment="1">
      <alignment horizontal="center"/>
    </xf>
    <xf numFmtId="0" fontId="22" fillId="11" borderId="3" xfId="0" applyFont="1" applyFill="1" applyBorder="1" applyAlignment="1">
      <alignment horizontal="center"/>
    </xf>
    <xf numFmtId="0" fontId="22" fillId="11" borderId="4" xfId="0" applyFont="1" applyFill="1" applyBorder="1" applyAlignment="1">
      <alignment horizontal="center"/>
    </xf>
    <xf numFmtId="0" fontId="22" fillId="11" borderId="0" xfId="0" applyFont="1" applyFill="1" applyAlignment="1">
      <alignment horizontal="center"/>
    </xf>
    <xf numFmtId="0" fontId="22" fillId="11" borderId="5" xfId="0" applyFont="1" applyFill="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5" fillId="3" borderId="4"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5" xfId="0" applyFont="1" applyFill="1" applyBorder="1" applyAlignment="1">
      <alignment horizontal="left" vertical="center" wrapText="1"/>
    </xf>
    <xf numFmtId="0" fontId="5" fillId="3" borderId="22" xfId="0" applyFont="1" applyFill="1" applyBorder="1" applyAlignment="1">
      <alignment horizontal="left" vertical="center" wrapText="1"/>
    </xf>
    <xf numFmtId="0" fontId="5" fillId="3" borderId="33"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6" fillId="0" borderId="20" xfId="0" applyFont="1" applyBorder="1" applyAlignment="1">
      <alignment horizontal="center"/>
    </xf>
    <xf numFmtId="0" fontId="6" fillId="0" borderId="17" xfId="0" applyFont="1" applyBorder="1" applyAlignment="1">
      <alignment horizontal="center"/>
    </xf>
    <xf numFmtId="0" fontId="6" fillId="0" borderId="19" xfId="0" applyFont="1" applyBorder="1" applyAlignment="1">
      <alignment horizontal="center"/>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4"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5" fillId="0" borderId="24" xfId="0" applyFont="1" applyBorder="1" applyAlignment="1">
      <alignment horizontal="left" vertical="center" wrapText="1"/>
    </xf>
    <xf numFmtId="0" fontId="5" fillId="0" borderId="34" xfId="0" applyFont="1" applyBorder="1" applyAlignment="1">
      <alignment horizontal="left" vertical="center" wrapText="1"/>
    </xf>
    <xf numFmtId="0" fontId="5" fillId="0" borderId="38" xfId="0" applyFont="1" applyBorder="1" applyAlignment="1">
      <alignment horizontal="left" vertical="center" wrapText="1"/>
    </xf>
    <xf numFmtId="0" fontId="9" fillId="8" borderId="30" xfId="0" applyFont="1" applyFill="1" applyBorder="1" applyAlignment="1">
      <alignment horizontal="center" vertical="center" wrapText="1"/>
    </xf>
    <xf numFmtId="0" fontId="9" fillId="8" borderId="3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21" fillId="9" borderId="1" xfId="0" applyFont="1" applyFill="1" applyBorder="1" applyAlignment="1">
      <alignment horizontal="center" vertical="center"/>
    </xf>
    <xf numFmtId="0" fontId="21" fillId="9" borderId="2" xfId="0" applyFont="1" applyFill="1" applyBorder="1" applyAlignment="1">
      <alignment horizontal="center" vertical="center"/>
    </xf>
    <xf numFmtId="0" fontId="21" fillId="9" borderId="3" xfId="0" applyFont="1" applyFill="1" applyBorder="1" applyAlignment="1">
      <alignment horizontal="center" vertical="center"/>
    </xf>
    <xf numFmtId="0" fontId="21" fillId="9" borderId="4" xfId="0" applyFont="1" applyFill="1" applyBorder="1" applyAlignment="1">
      <alignment horizontal="center" vertical="center"/>
    </xf>
    <xf numFmtId="0" fontId="21" fillId="9" borderId="0" xfId="0" applyFont="1" applyFill="1" applyAlignment="1">
      <alignment horizontal="center" vertical="center"/>
    </xf>
    <xf numFmtId="0" fontId="21" fillId="9" borderId="5" xfId="0" applyFont="1" applyFill="1" applyBorder="1" applyAlignment="1">
      <alignment horizontal="center" vertical="center"/>
    </xf>
    <xf numFmtId="0" fontId="21" fillId="9" borderId="6" xfId="0" applyFont="1" applyFill="1" applyBorder="1" applyAlignment="1">
      <alignment horizontal="center" vertical="center"/>
    </xf>
    <xf numFmtId="0" fontId="21" fillId="9" borderId="7" xfId="0" applyFont="1" applyFill="1" applyBorder="1" applyAlignment="1">
      <alignment horizontal="center" vertical="center"/>
    </xf>
    <xf numFmtId="0" fontId="21" fillId="9" borderId="8" xfId="0" applyFont="1" applyFill="1" applyBorder="1" applyAlignment="1">
      <alignment horizontal="center" vertical="center"/>
    </xf>
    <xf numFmtId="0" fontId="1" fillId="8" borderId="1"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7" xfId="0" applyFont="1" applyFill="1" applyBorder="1" applyAlignment="1">
      <alignment horizontal="center" vertical="center"/>
    </xf>
    <xf numFmtId="0" fontId="1" fillId="8" borderId="8" xfId="0" applyFont="1" applyFill="1" applyBorder="1" applyAlignment="1">
      <alignment horizontal="center" vertical="center"/>
    </xf>
    <xf numFmtId="0" fontId="6" fillId="0" borderId="29" xfId="0" applyFont="1" applyBorder="1" applyAlignment="1">
      <alignment horizontal="center"/>
    </xf>
    <xf numFmtId="0" fontId="6" fillId="0" borderId="35" xfId="0" applyFont="1" applyBorder="1" applyAlignment="1">
      <alignment horizontal="center"/>
    </xf>
    <xf numFmtId="0" fontId="6" fillId="0" borderId="36" xfId="0" applyFont="1" applyBorder="1" applyAlignment="1">
      <alignment horizontal="center"/>
    </xf>
    <xf numFmtId="0" fontId="10" fillId="4" borderId="4" xfId="0" applyFont="1" applyFill="1" applyBorder="1" applyAlignment="1">
      <alignment horizontal="center" vertical="center"/>
    </xf>
    <xf numFmtId="0" fontId="10" fillId="4" borderId="0" xfId="0" applyFont="1" applyFill="1" applyAlignment="1">
      <alignment horizontal="center" vertical="center"/>
    </xf>
    <xf numFmtId="0" fontId="10" fillId="4" borderId="5"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0" xfId="0" applyFont="1" applyFill="1" applyAlignment="1">
      <alignment horizontal="center" vertical="center"/>
    </xf>
    <xf numFmtId="0" fontId="8" fillId="5" borderId="5"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3" xfId="0" applyFont="1" applyFill="1" applyBorder="1" applyAlignment="1">
      <alignment horizontal="center" vertical="center"/>
    </xf>
    <xf numFmtId="0" fontId="13" fillId="6" borderId="24" xfId="0" applyFont="1" applyFill="1" applyBorder="1" applyAlignment="1">
      <alignment vertical="center"/>
    </xf>
    <xf numFmtId="0" fontId="13" fillId="6" borderId="34" xfId="0" applyFont="1" applyFill="1" applyBorder="1" applyAlignment="1">
      <alignment vertical="center"/>
    </xf>
    <xf numFmtId="0" fontId="13" fillId="6" borderId="25" xfId="0" applyFont="1" applyFill="1" applyBorder="1" applyAlignment="1">
      <alignment vertical="center"/>
    </xf>
    <xf numFmtId="0" fontId="12" fillId="7" borderId="1" xfId="0" applyFont="1" applyFill="1" applyBorder="1" applyAlignment="1">
      <alignment horizontal="center"/>
    </xf>
    <xf numFmtId="0" fontId="12" fillId="7" borderId="2"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7" xfId="0" applyFont="1" applyFill="1" applyBorder="1" applyAlignment="1">
      <alignment horizontal="center"/>
    </xf>
    <xf numFmtId="0" fontId="12" fillId="7" borderId="8" xfId="0" applyFont="1" applyFill="1" applyBorder="1" applyAlignment="1">
      <alignment horizontal="center"/>
    </xf>
    <xf numFmtId="0" fontId="1" fillId="0" borderId="46" xfId="0" applyFont="1" applyBorder="1" applyAlignment="1">
      <alignment vertical="center" wrapText="1"/>
    </xf>
    <xf numFmtId="3" fontId="1" fillId="0" borderId="34" xfId="0" applyNumberFormat="1" applyFont="1" applyBorder="1" applyAlignment="1">
      <alignment horizontal="right" vertical="center" wrapText="1"/>
    </xf>
    <xf numFmtId="3" fontId="1" fillId="0" borderId="27" xfId="0" applyNumberFormat="1" applyFont="1" applyBorder="1" applyAlignment="1">
      <alignment horizontal="right" vertical="center" wrapText="1"/>
    </xf>
    <xf numFmtId="3" fontId="1" fillId="0" borderId="25" xfId="0" applyNumberFormat="1" applyFont="1" applyBorder="1" applyAlignment="1">
      <alignment horizontal="right" vertical="center" wrapText="1"/>
    </xf>
    <xf numFmtId="0" fontId="1" fillId="0" borderId="25" xfId="0" applyFont="1" applyBorder="1" applyAlignment="1">
      <alignment horizontal="right" vertical="center" wrapText="1"/>
    </xf>
    <xf numFmtId="0" fontId="1" fillId="0" borderId="38" xfId="0" applyFont="1" applyBorder="1" applyAlignment="1">
      <alignment horizontal="right" vertical="center" wrapText="1"/>
    </xf>
    <xf numFmtId="3" fontId="3" fillId="0" borderId="14" xfId="0" applyNumberFormat="1" applyFont="1" applyBorder="1" applyAlignment="1">
      <alignment horizontal="right" vertical="center" wrapText="1"/>
    </xf>
    <xf numFmtId="3" fontId="3" fillId="0" borderId="15" xfId="0" applyNumberFormat="1" applyFont="1" applyBorder="1" applyAlignment="1">
      <alignment horizontal="right" vertical="center" wrapText="1"/>
    </xf>
    <xf numFmtId="0" fontId="1" fillId="0" borderId="50" xfId="0" applyFont="1" applyBorder="1" applyAlignment="1">
      <alignment horizontal="center" vertical="center" wrapText="1"/>
    </xf>
    <xf numFmtId="0" fontId="3" fillId="0" borderId="42" xfId="0" applyFont="1" applyBorder="1" applyAlignment="1">
      <alignment vertical="center" wrapText="1"/>
    </xf>
    <xf numFmtId="0" fontId="3" fillId="0" borderId="41" xfId="0" applyFont="1" applyBorder="1" applyAlignment="1">
      <alignment vertical="center" wrapText="1"/>
    </xf>
  </cellXfs>
  <cellStyles count="1">
    <cellStyle name="Normal" xfId="0" builtinId="0"/>
  </cellStyles>
  <dxfs count="2">
    <dxf>
      <numFmt numFmtId="167" formatCode="0.000"/>
    </dxf>
    <dxf>
      <numFmt numFmtId="14" formatCode="0.00%"/>
    </dxf>
  </dxfs>
  <tableStyles count="0" defaultTableStyle="TableStyleMedium2" defaultPivotStyle="PivotStyleLight16"/>
  <colors>
    <mruColors>
      <color rgb="FF2DC8FF"/>
      <color rgb="FFABF1E4"/>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Analysis'!$A$6</c:f>
              <c:strCache>
                <c:ptCount val="1"/>
                <c:pt idx="0">
                  <c:v>Revenue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'Trend Analysis'!$B$5:$G$5</c:f>
              <c:strCache>
                <c:ptCount val="6"/>
                <c:pt idx="0">
                  <c:v>FY26</c:v>
                </c:pt>
                <c:pt idx="1">
                  <c:v>FY25</c:v>
                </c:pt>
                <c:pt idx="2">
                  <c:v>FY24</c:v>
                </c:pt>
                <c:pt idx="3">
                  <c:v>FY23</c:v>
                </c:pt>
                <c:pt idx="4">
                  <c:v>FY22</c:v>
                </c:pt>
                <c:pt idx="5">
                  <c:v>FY21</c:v>
                </c:pt>
              </c:strCache>
            </c:strRef>
          </c:cat>
          <c:val>
            <c:numRef>
              <c:f>'Trend Analysis'!$B$6:$G$6</c:f>
              <c:numCache>
                <c:formatCode>#,##0</c:formatCode>
                <c:ptCount val="6"/>
                <c:pt idx="0">
                  <c:v>267021</c:v>
                </c:pt>
                <c:pt idx="1">
                  <c:v>255324</c:v>
                </c:pt>
                <c:pt idx="2">
                  <c:v>240893</c:v>
                </c:pt>
                <c:pt idx="3">
                  <c:v>225458</c:v>
                </c:pt>
                <c:pt idx="4">
                  <c:v>191754</c:v>
                </c:pt>
                <c:pt idx="5">
                  <c:v>164177</c:v>
                </c:pt>
              </c:numCache>
            </c:numRef>
          </c:val>
          <c:smooth val="0"/>
          <c:extLst>
            <c:ext xmlns:c16="http://schemas.microsoft.com/office/drawing/2014/chart" uri="{C3380CC4-5D6E-409C-BE32-E72D297353CC}">
              <c16:uniqueId val="{00000000-7A19-496D-9EC8-0FC3B128F7C5}"/>
            </c:ext>
          </c:extLst>
        </c:ser>
        <c:dLbls>
          <c:showLegendKey val="0"/>
          <c:showVal val="0"/>
          <c:showCatName val="0"/>
          <c:showSerName val="0"/>
          <c:showPercent val="0"/>
          <c:showBubbleSize val="0"/>
        </c:dLbls>
        <c:marker val="1"/>
        <c:smooth val="0"/>
        <c:axId val="1548117855"/>
        <c:axId val="1548119295"/>
      </c:lineChart>
      <c:catAx>
        <c:axId val="154811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8119295"/>
        <c:crosses val="autoZero"/>
        <c:auto val="1"/>
        <c:lblAlgn val="ctr"/>
        <c:lblOffset val="100"/>
        <c:noMultiLvlLbl val="0"/>
      </c:catAx>
      <c:valAx>
        <c:axId val="1548119295"/>
        <c:scaling>
          <c:orientation val="minMax"/>
        </c:scaling>
        <c:delete val="1"/>
        <c:axPos val="l"/>
        <c:numFmt formatCode="#,##0" sourceLinked="1"/>
        <c:majorTickMark val="none"/>
        <c:minorTickMark val="none"/>
        <c:tickLblPos val="nextTo"/>
        <c:crossAx val="15481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Historical_IS!$A$8</c:f>
              <c:strCache>
                <c:ptCount val="1"/>
                <c:pt idx="0">
                  <c:v>Profit After Tax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Historical_IS!$B$1:$G$1</c:f>
              <c:strCache>
                <c:ptCount val="6"/>
                <c:pt idx="0">
                  <c:v>FY26</c:v>
                </c:pt>
                <c:pt idx="1">
                  <c:v>FY25</c:v>
                </c:pt>
                <c:pt idx="2">
                  <c:v>FY24</c:v>
                </c:pt>
                <c:pt idx="3">
                  <c:v>FY23</c:v>
                </c:pt>
                <c:pt idx="4">
                  <c:v>FY22</c:v>
                </c:pt>
                <c:pt idx="5">
                  <c:v>FY21</c:v>
                </c:pt>
              </c:strCache>
            </c:strRef>
          </c:cat>
          <c:val>
            <c:numRef>
              <c:f>Historical_IS!$B$8:$G$8</c:f>
              <c:numCache>
                <c:formatCode>#,##0</c:formatCode>
                <c:ptCount val="6"/>
                <c:pt idx="0">
                  <c:v>52820</c:v>
                </c:pt>
                <c:pt idx="1">
                  <c:v>48553</c:v>
                </c:pt>
                <c:pt idx="2">
                  <c:v>46585</c:v>
                </c:pt>
                <c:pt idx="3">
                  <c:v>42147</c:v>
                </c:pt>
                <c:pt idx="4">
                  <c:v>38327</c:v>
                </c:pt>
                <c:pt idx="5">
                  <c:v>33388</c:v>
                </c:pt>
              </c:numCache>
            </c:numRef>
          </c:val>
          <c:smooth val="0"/>
          <c:extLst>
            <c:ext xmlns:c16="http://schemas.microsoft.com/office/drawing/2014/chart" uri="{C3380CC4-5D6E-409C-BE32-E72D297353CC}">
              <c16:uniqueId val="{00000000-3CE2-4331-8A11-1209F012FA38}"/>
            </c:ext>
          </c:extLst>
        </c:ser>
        <c:dLbls>
          <c:showLegendKey val="0"/>
          <c:showVal val="0"/>
          <c:showCatName val="0"/>
          <c:showSerName val="0"/>
          <c:showPercent val="0"/>
          <c:showBubbleSize val="0"/>
        </c:dLbls>
        <c:marker val="1"/>
        <c:smooth val="0"/>
        <c:axId val="1548133215"/>
        <c:axId val="1548132735"/>
      </c:lineChart>
      <c:catAx>
        <c:axId val="154813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8132735"/>
        <c:crosses val="autoZero"/>
        <c:auto val="1"/>
        <c:lblAlgn val="ctr"/>
        <c:lblOffset val="100"/>
        <c:noMultiLvlLbl val="0"/>
      </c:catAx>
      <c:valAx>
        <c:axId val="1548132735"/>
        <c:scaling>
          <c:orientation val="minMax"/>
        </c:scaling>
        <c:delete val="1"/>
        <c:axPos val="l"/>
        <c:numFmt formatCode="#,##0" sourceLinked="1"/>
        <c:majorTickMark val="none"/>
        <c:minorTickMark val="none"/>
        <c:tickLblPos val="nextTo"/>
        <c:crossAx val="15481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[TCS_Finanacial_Analysis.xlsx]Pivot tables!PivotTable1</c:name>
    <c:fmtId val="1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diamond"/>
          <c:size val="6"/>
          <c:spPr>
            <a:solidFill>
              <a:schemeClr val="accent6"/>
            </a:solidFill>
            <a:ln w="9525">
              <a:solidFill>
                <a:schemeClr val="accent6"/>
              </a:solidFill>
              <a:round/>
            </a:ln>
            <a:effectLst/>
          </c:spPr>
        </c:marker>
      </c:pivotFmt>
      <c:pivotFmt>
        <c:idx val="7"/>
        <c:spPr>
          <a:solidFill>
            <a:schemeClr val="accent6"/>
          </a:solidFill>
          <a:ln>
            <a:noFill/>
          </a:ln>
          <a:effectLst/>
        </c:spPr>
        <c:marker>
          <c:symbol val="square"/>
          <c:size val="6"/>
          <c:spPr>
            <a:solidFill>
              <a:schemeClr val="accent5"/>
            </a:solidFill>
            <a:ln w="9525">
              <a:solidFill>
                <a:schemeClr val="accent5"/>
              </a:solidFill>
              <a:round/>
            </a:ln>
            <a:effectLst/>
          </c:spPr>
        </c:marker>
      </c:pivotFmt>
      <c:pivotFmt>
        <c:idx val="8"/>
        <c:spPr>
          <a:solidFill>
            <a:schemeClr val="accent6"/>
          </a:solidFill>
          <a:ln>
            <a:noFill/>
          </a:ln>
          <a:effectLst/>
        </c:spPr>
        <c:marker>
          <c:symbol val="triangle"/>
          <c:size val="6"/>
          <c:spPr>
            <a:solidFill>
              <a:schemeClr val="accent4"/>
            </a:solidFill>
            <a:ln w="9525">
              <a:solidFill>
                <a:schemeClr val="accent4"/>
              </a:solidFill>
              <a:round/>
            </a:ln>
            <a:effectLst/>
          </c:spPr>
        </c:marker>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6"/>
            </a:solidFill>
            <a:round/>
          </a:ln>
          <a:effectLst/>
        </c:spPr>
        <c:marker>
          <c:symbol val="triangle"/>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tables'!$B$3:$B$4</c:f>
              <c:strCache>
                <c:ptCount val="1"/>
                <c:pt idx="0">
                  <c:v>EBIT Margin</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'Pivot tables'!$A$5:$A$10</c:f>
              <c:strCache>
                <c:ptCount val="6"/>
                <c:pt idx="0">
                  <c:v>2026</c:v>
                </c:pt>
                <c:pt idx="1">
                  <c:v>2025</c:v>
                </c:pt>
                <c:pt idx="2">
                  <c:v>2024</c:v>
                </c:pt>
                <c:pt idx="3">
                  <c:v>2023</c:v>
                </c:pt>
                <c:pt idx="4">
                  <c:v>2022</c:v>
                </c:pt>
                <c:pt idx="5">
                  <c:v>2021</c:v>
                </c:pt>
              </c:strCache>
            </c:strRef>
          </c:cat>
          <c:val>
            <c:numRef>
              <c:f>'Pivot tables'!$B$5:$B$10</c:f>
              <c:numCache>
                <c:formatCode>0.00%</c:formatCode>
                <c:ptCount val="6"/>
                <c:pt idx="0">
                  <c:v>0.25030990071941905</c:v>
                </c:pt>
                <c:pt idx="1">
                  <c:v>0.24347495730914445</c:v>
                </c:pt>
                <c:pt idx="2">
                  <c:v>0.24621304894704288</c:v>
                </c:pt>
                <c:pt idx="3">
                  <c:v>0.24056365265370933</c:v>
                </c:pt>
                <c:pt idx="4">
                  <c:v>0.25268312525423198</c:v>
                </c:pt>
                <c:pt idx="5">
                  <c:v>0.25875122581116722</c:v>
                </c:pt>
              </c:numCache>
            </c:numRef>
          </c:val>
          <c:smooth val="0"/>
          <c:extLst>
            <c:ext xmlns:c16="http://schemas.microsoft.com/office/drawing/2014/chart" uri="{C3380CC4-5D6E-409C-BE32-E72D297353CC}">
              <c16:uniqueId val="{00000000-9FA9-499C-9682-464B904AB78A}"/>
            </c:ext>
          </c:extLst>
        </c:ser>
        <c:ser>
          <c:idx val="1"/>
          <c:order val="1"/>
          <c:tx>
            <c:strRef>
              <c:f>'Pivot tables'!$C$3:$C$4</c:f>
              <c:strCache>
                <c:ptCount val="1"/>
                <c:pt idx="0">
                  <c:v>EBITDA Margin</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'Pivot tables'!$A$5:$A$10</c:f>
              <c:strCache>
                <c:ptCount val="6"/>
                <c:pt idx="0">
                  <c:v>2026</c:v>
                </c:pt>
                <c:pt idx="1">
                  <c:v>2025</c:v>
                </c:pt>
                <c:pt idx="2">
                  <c:v>2024</c:v>
                </c:pt>
                <c:pt idx="3">
                  <c:v>2023</c:v>
                </c:pt>
                <c:pt idx="4">
                  <c:v>2022</c:v>
                </c:pt>
                <c:pt idx="5">
                  <c:v>2021</c:v>
                </c:pt>
              </c:strCache>
            </c:strRef>
          </c:cat>
          <c:val>
            <c:numRef>
              <c:f>'Pivot tables'!$C$5:$C$10</c:f>
              <c:numCache>
                <c:formatCode>0.00%</c:formatCode>
                <c:ptCount val="6"/>
                <c:pt idx="0">
                  <c:v>0.27113223304534101</c:v>
                </c:pt>
                <c:pt idx="1">
                  <c:v>0.26400573389105608</c:v>
                </c:pt>
                <c:pt idx="2">
                  <c:v>0.26690688396923118</c:v>
                </c:pt>
                <c:pt idx="3">
                  <c:v>0.26283831134845514</c:v>
                </c:pt>
                <c:pt idx="4">
                  <c:v>0.27669305464292793</c:v>
                </c:pt>
                <c:pt idx="5">
                  <c:v>0.28351108864213626</c:v>
                </c:pt>
              </c:numCache>
            </c:numRef>
          </c:val>
          <c:smooth val="0"/>
          <c:extLst>
            <c:ext xmlns:c16="http://schemas.microsoft.com/office/drawing/2014/chart" uri="{C3380CC4-5D6E-409C-BE32-E72D297353CC}">
              <c16:uniqueId val="{00000001-9FA9-499C-9682-464B904AB78A}"/>
            </c:ext>
          </c:extLst>
        </c:ser>
        <c:ser>
          <c:idx val="2"/>
          <c:order val="2"/>
          <c:tx>
            <c:strRef>
              <c:f>'Pivot tables'!$D$3:$D$4</c:f>
              <c:strCache>
                <c:ptCount val="1"/>
                <c:pt idx="0">
                  <c:v>Net Profit Margin</c:v>
                </c:pt>
              </c:strCache>
            </c:strRef>
          </c:tx>
          <c:spPr>
            <a:ln w="22225" cap="rnd">
              <a:solidFill>
                <a:schemeClr val="accent4"/>
              </a:solidFill>
              <a:round/>
            </a:ln>
            <a:effectLst/>
          </c:spPr>
          <c:marker>
            <c:symbol val="triangle"/>
            <c:size val="6"/>
            <c:spPr>
              <a:solidFill>
                <a:schemeClr val="accent4"/>
              </a:solidFill>
              <a:ln w="9525">
                <a:solidFill>
                  <a:schemeClr val="accent4"/>
                </a:solidFill>
                <a:round/>
              </a:ln>
              <a:effectLst/>
            </c:spPr>
          </c:marker>
          <c:cat>
            <c:strRef>
              <c:f>'Pivot tables'!$A$5:$A$10</c:f>
              <c:strCache>
                <c:ptCount val="6"/>
                <c:pt idx="0">
                  <c:v>2026</c:v>
                </c:pt>
                <c:pt idx="1">
                  <c:v>2025</c:v>
                </c:pt>
                <c:pt idx="2">
                  <c:v>2024</c:v>
                </c:pt>
                <c:pt idx="3">
                  <c:v>2023</c:v>
                </c:pt>
                <c:pt idx="4">
                  <c:v>2022</c:v>
                </c:pt>
                <c:pt idx="5">
                  <c:v>2021</c:v>
                </c:pt>
              </c:strCache>
            </c:strRef>
          </c:cat>
          <c:val>
            <c:numRef>
              <c:f>'Pivot tables'!$D$5:$D$10</c:f>
              <c:numCache>
                <c:formatCode>0.00%</c:formatCode>
                <c:ptCount val="6"/>
                <c:pt idx="0">
                  <c:v>0.19781215709625835</c:v>
                </c:pt>
                <c:pt idx="1">
                  <c:v>0.1901623035828986</c:v>
                </c:pt>
                <c:pt idx="2">
                  <c:v>0.19338461474596605</c:v>
                </c:pt>
                <c:pt idx="3">
                  <c:v>0.18693947431450647</c:v>
                </c:pt>
                <c:pt idx="4">
                  <c:v>0.19987588264130082</c:v>
                </c:pt>
                <c:pt idx="5">
                  <c:v>0.20336587950809187</c:v>
                </c:pt>
              </c:numCache>
            </c:numRef>
          </c:val>
          <c:smooth val="0"/>
          <c:extLst>
            <c:ext xmlns:c16="http://schemas.microsoft.com/office/drawing/2014/chart" uri="{C3380CC4-5D6E-409C-BE32-E72D297353CC}">
              <c16:uniqueId val="{00000002-9FA9-499C-9682-464B904AB78A}"/>
            </c:ext>
          </c:extLst>
        </c:ser>
        <c:dLbls>
          <c:showLegendKey val="0"/>
          <c:showVal val="0"/>
          <c:showCatName val="0"/>
          <c:showSerName val="0"/>
          <c:showPercent val="0"/>
          <c:showBubbleSize val="0"/>
        </c:dLbls>
        <c:marker val="1"/>
        <c:smooth val="0"/>
        <c:axId val="1548119775"/>
        <c:axId val="1548103455"/>
      </c:lineChart>
      <c:catAx>
        <c:axId val="154811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548103455"/>
        <c:crosses val="autoZero"/>
        <c:auto val="1"/>
        <c:lblAlgn val="ctr"/>
        <c:lblOffset val="100"/>
        <c:noMultiLvlLbl val="0"/>
      </c:catAx>
      <c:valAx>
        <c:axId val="1548103455"/>
        <c:scaling>
          <c:orientation val="minMax"/>
        </c:scaling>
        <c:delete val="1"/>
        <c:axPos val="l"/>
        <c:numFmt formatCode="0.00%" sourceLinked="1"/>
        <c:majorTickMark val="none"/>
        <c:minorTickMark val="none"/>
        <c:tickLblPos val="nextTo"/>
        <c:crossAx val="1548119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[TCS_Finanacial_Analysis.xlsx]Pivot tables!PivotTable3</c:name>
    <c:fmtId val="8"/>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tables'!$H$3:$H$4</c:f>
              <c:strCache>
                <c:ptCount val="1"/>
                <c:pt idx="0">
                  <c:v>EPS Growth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tables'!$G$5:$G$9</c:f>
              <c:strCache>
                <c:ptCount val="5"/>
                <c:pt idx="0">
                  <c:v>2026</c:v>
                </c:pt>
                <c:pt idx="1">
                  <c:v>2025</c:v>
                </c:pt>
                <c:pt idx="2">
                  <c:v>2024</c:v>
                </c:pt>
                <c:pt idx="3">
                  <c:v>2023</c:v>
                </c:pt>
                <c:pt idx="4">
                  <c:v>2022</c:v>
                </c:pt>
              </c:strCache>
            </c:strRef>
          </c:cat>
          <c:val>
            <c:numRef>
              <c:f>'Pivot tables'!$H$5:$H$9</c:f>
              <c:numCache>
                <c:formatCode>0.000</c:formatCode>
                <c:ptCount val="5"/>
                <c:pt idx="0">
                  <c:v>8.7935017512482394E-2</c:v>
                </c:pt>
                <c:pt idx="1">
                  <c:v>5.0493189290746851E-2</c:v>
                </c:pt>
                <c:pt idx="2">
                  <c:v>0.10895042972480248</c:v>
                </c:pt>
                <c:pt idx="3">
                  <c:v>0.11165798108473261</c:v>
                </c:pt>
                <c:pt idx="4">
                  <c:v>0.16074829169933919</c:v>
                </c:pt>
              </c:numCache>
            </c:numRef>
          </c:val>
          <c:smooth val="0"/>
          <c:extLst>
            <c:ext xmlns:c16="http://schemas.microsoft.com/office/drawing/2014/chart" uri="{C3380CC4-5D6E-409C-BE32-E72D297353CC}">
              <c16:uniqueId val="{00000000-0E6B-43D4-8D4B-C79C30485658}"/>
            </c:ext>
          </c:extLst>
        </c:ser>
        <c:ser>
          <c:idx val="1"/>
          <c:order val="1"/>
          <c:tx>
            <c:strRef>
              <c:f>'Pivot tables'!$I$3:$I$4</c:f>
              <c:strCache>
                <c:ptCount val="1"/>
                <c:pt idx="0">
                  <c:v>PAT Growth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tables'!$G$5:$G$9</c:f>
              <c:strCache>
                <c:ptCount val="5"/>
                <c:pt idx="0">
                  <c:v>2026</c:v>
                </c:pt>
                <c:pt idx="1">
                  <c:v>2025</c:v>
                </c:pt>
                <c:pt idx="2">
                  <c:v>2024</c:v>
                </c:pt>
                <c:pt idx="3">
                  <c:v>2023</c:v>
                </c:pt>
                <c:pt idx="4">
                  <c:v>2022</c:v>
                </c:pt>
              </c:strCache>
            </c:strRef>
          </c:cat>
          <c:val>
            <c:numRef>
              <c:f>'Pivot tables'!$I$5:$I$9</c:f>
              <c:numCache>
                <c:formatCode>0.000</c:formatCode>
                <c:ptCount val="5"/>
                <c:pt idx="0">
                  <c:v>8.7883343974625661E-2</c:v>
                </c:pt>
                <c:pt idx="1">
                  <c:v>4.2245357947837285E-2</c:v>
                </c:pt>
                <c:pt idx="2">
                  <c:v>0.10529812323534296</c:v>
                </c:pt>
                <c:pt idx="3">
                  <c:v>9.9668640905888797E-2</c:v>
                </c:pt>
                <c:pt idx="4">
                  <c:v>0.14792739906553254</c:v>
                </c:pt>
              </c:numCache>
            </c:numRef>
          </c:val>
          <c:smooth val="0"/>
          <c:extLst>
            <c:ext xmlns:c16="http://schemas.microsoft.com/office/drawing/2014/chart" uri="{C3380CC4-5D6E-409C-BE32-E72D297353CC}">
              <c16:uniqueId val="{00000001-0E6B-43D4-8D4B-C79C30485658}"/>
            </c:ext>
          </c:extLst>
        </c:ser>
        <c:ser>
          <c:idx val="2"/>
          <c:order val="2"/>
          <c:tx>
            <c:strRef>
              <c:f>'Pivot tables'!$J$3:$J$4</c:f>
              <c:strCache>
                <c:ptCount val="1"/>
                <c:pt idx="0">
                  <c:v>Revenue Growth</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tables'!$G$5:$G$9</c:f>
              <c:strCache>
                <c:ptCount val="5"/>
                <c:pt idx="0">
                  <c:v>2026</c:v>
                </c:pt>
                <c:pt idx="1">
                  <c:v>2025</c:v>
                </c:pt>
                <c:pt idx="2">
                  <c:v>2024</c:v>
                </c:pt>
                <c:pt idx="3">
                  <c:v>2023</c:v>
                </c:pt>
                <c:pt idx="4">
                  <c:v>2022</c:v>
                </c:pt>
              </c:strCache>
            </c:strRef>
          </c:cat>
          <c:val>
            <c:numRef>
              <c:f>'Pivot tables'!$J$5:$J$9</c:f>
              <c:numCache>
                <c:formatCode>0.000</c:formatCode>
                <c:ptCount val="5"/>
                <c:pt idx="0">
                  <c:v>4.5812379564788272E-2</c:v>
                </c:pt>
                <c:pt idx="1">
                  <c:v>5.9906265437351856E-2</c:v>
                </c:pt>
                <c:pt idx="2">
                  <c:v>6.8460644554639891E-2</c:v>
                </c:pt>
                <c:pt idx="3">
                  <c:v>0.17576686796624844</c:v>
                </c:pt>
                <c:pt idx="4">
                  <c:v>0.16797115308478044</c:v>
                </c:pt>
              </c:numCache>
            </c:numRef>
          </c:val>
          <c:smooth val="0"/>
          <c:extLst>
            <c:ext xmlns:c16="http://schemas.microsoft.com/office/drawing/2014/chart" uri="{C3380CC4-5D6E-409C-BE32-E72D297353CC}">
              <c16:uniqueId val="{00000002-0E6B-43D4-8D4B-C79C30485658}"/>
            </c:ext>
          </c:extLst>
        </c:ser>
        <c:dLbls>
          <c:showLegendKey val="0"/>
          <c:showVal val="0"/>
          <c:showCatName val="0"/>
          <c:showSerName val="0"/>
          <c:showPercent val="0"/>
          <c:showBubbleSize val="0"/>
        </c:dLbls>
        <c:marker val="1"/>
        <c:smooth val="0"/>
        <c:axId val="1657194495"/>
        <c:axId val="1657200255"/>
      </c:lineChart>
      <c:catAx>
        <c:axId val="165719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7200255"/>
        <c:crosses val="autoZero"/>
        <c:auto val="1"/>
        <c:lblAlgn val="ctr"/>
        <c:lblOffset val="100"/>
        <c:noMultiLvlLbl val="0"/>
      </c:catAx>
      <c:valAx>
        <c:axId val="1657200255"/>
        <c:scaling>
          <c:orientation val="minMax"/>
        </c:scaling>
        <c:delete val="1"/>
        <c:axPos val="l"/>
        <c:numFmt formatCode="0.000" sourceLinked="1"/>
        <c:majorTickMark val="none"/>
        <c:minorTickMark val="none"/>
        <c:tickLblPos val="nextTo"/>
        <c:crossAx val="1657194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tables'!$B$13</c:f>
              <c:strCache>
                <c:ptCount val="1"/>
                <c:pt idx="0">
                  <c:v>FY26</c:v>
                </c:pt>
              </c:strCache>
            </c:strRef>
          </c:tx>
          <c:spPr>
            <a:solidFill>
              <a:schemeClr val="accent1"/>
            </a:solidFill>
            <a:ln>
              <a:noFill/>
            </a:ln>
            <a:effectLst/>
          </c:spPr>
          <c:invertIfNegative val="0"/>
          <c:cat>
            <c:strRef>
              <c:f>'Pivot tables'!$A$14:$A$15</c:f>
              <c:strCache>
                <c:ptCount val="2"/>
                <c:pt idx="0">
                  <c:v>Non-current Assets</c:v>
                </c:pt>
                <c:pt idx="1">
                  <c:v>Current Assets</c:v>
                </c:pt>
              </c:strCache>
            </c:strRef>
          </c:cat>
          <c:val>
            <c:numRef>
              <c:f>'Pivot tables'!$B$14:$B$15</c:f>
              <c:numCache>
                <c:formatCode>"₹"\ #,##0.00</c:formatCode>
                <c:ptCount val="2"/>
                <c:pt idx="0">
                  <c:v>46667</c:v>
                </c:pt>
                <c:pt idx="1">
                  <c:v>135705</c:v>
                </c:pt>
              </c:numCache>
            </c:numRef>
          </c:val>
          <c:extLst>
            <c:ext xmlns:c16="http://schemas.microsoft.com/office/drawing/2014/chart" uri="{C3380CC4-5D6E-409C-BE32-E72D297353CC}">
              <c16:uniqueId val="{00000000-5477-4CEA-97BB-A8E28B0223DD}"/>
            </c:ext>
          </c:extLst>
        </c:ser>
        <c:ser>
          <c:idx val="1"/>
          <c:order val="1"/>
          <c:tx>
            <c:strRef>
              <c:f>'Pivot tables'!$C$13</c:f>
              <c:strCache>
                <c:ptCount val="1"/>
                <c:pt idx="0">
                  <c:v>FY25</c:v>
                </c:pt>
              </c:strCache>
            </c:strRef>
          </c:tx>
          <c:spPr>
            <a:solidFill>
              <a:schemeClr val="accent2"/>
            </a:solidFill>
            <a:ln>
              <a:noFill/>
            </a:ln>
            <a:effectLst/>
          </c:spPr>
          <c:invertIfNegative val="0"/>
          <c:cat>
            <c:strRef>
              <c:f>'Pivot tables'!$A$14:$A$15</c:f>
              <c:strCache>
                <c:ptCount val="2"/>
                <c:pt idx="0">
                  <c:v>Non-current Assets</c:v>
                </c:pt>
                <c:pt idx="1">
                  <c:v>Current Assets</c:v>
                </c:pt>
              </c:strCache>
            </c:strRef>
          </c:cat>
          <c:val>
            <c:numRef>
              <c:f>'Pivot tables'!$C$14:$C$15</c:f>
              <c:numCache>
                <c:formatCode>"₹"\ #,##0.00</c:formatCode>
                <c:ptCount val="2"/>
                <c:pt idx="0">
                  <c:v>36618</c:v>
                </c:pt>
                <c:pt idx="1">
                  <c:v>123011</c:v>
                </c:pt>
              </c:numCache>
            </c:numRef>
          </c:val>
          <c:extLst>
            <c:ext xmlns:c16="http://schemas.microsoft.com/office/drawing/2014/chart" uri="{C3380CC4-5D6E-409C-BE32-E72D297353CC}">
              <c16:uniqueId val="{00000001-5477-4CEA-97BB-A8E28B0223DD}"/>
            </c:ext>
          </c:extLst>
        </c:ser>
        <c:ser>
          <c:idx val="2"/>
          <c:order val="2"/>
          <c:tx>
            <c:strRef>
              <c:f>'Pivot tables'!$D$13</c:f>
              <c:strCache>
                <c:ptCount val="1"/>
                <c:pt idx="0">
                  <c:v>FY24</c:v>
                </c:pt>
              </c:strCache>
            </c:strRef>
          </c:tx>
          <c:spPr>
            <a:solidFill>
              <a:schemeClr val="accent3"/>
            </a:solidFill>
            <a:ln>
              <a:noFill/>
            </a:ln>
            <a:effectLst/>
          </c:spPr>
          <c:invertIfNegative val="0"/>
          <c:cat>
            <c:strRef>
              <c:f>'Pivot tables'!$A$14:$A$15</c:f>
              <c:strCache>
                <c:ptCount val="2"/>
                <c:pt idx="0">
                  <c:v>Non-current Assets</c:v>
                </c:pt>
                <c:pt idx="1">
                  <c:v>Current Assets</c:v>
                </c:pt>
              </c:strCache>
            </c:strRef>
          </c:cat>
          <c:val>
            <c:numRef>
              <c:f>'Pivot tables'!$D$14:$D$15</c:f>
              <c:numCache>
                <c:formatCode>"₹"\ #,##0.00</c:formatCode>
                <c:ptCount val="2"/>
                <c:pt idx="0">
                  <c:v>60548</c:v>
                </c:pt>
                <c:pt idx="1">
                  <c:v>113610</c:v>
                </c:pt>
              </c:numCache>
            </c:numRef>
          </c:val>
          <c:extLst>
            <c:ext xmlns:c16="http://schemas.microsoft.com/office/drawing/2014/chart" uri="{C3380CC4-5D6E-409C-BE32-E72D297353CC}">
              <c16:uniqueId val="{00000002-5477-4CEA-97BB-A8E28B0223DD}"/>
            </c:ext>
          </c:extLst>
        </c:ser>
        <c:ser>
          <c:idx val="3"/>
          <c:order val="3"/>
          <c:tx>
            <c:strRef>
              <c:f>'Pivot tables'!$E$13</c:f>
              <c:strCache>
                <c:ptCount val="1"/>
                <c:pt idx="0">
                  <c:v>FY23</c:v>
                </c:pt>
              </c:strCache>
            </c:strRef>
          </c:tx>
          <c:spPr>
            <a:solidFill>
              <a:schemeClr val="accent4"/>
            </a:solidFill>
            <a:ln>
              <a:noFill/>
            </a:ln>
            <a:effectLst/>
          </c:spPr>
          <c:invertIfNegative val="0"/>
          <c:cat>
            <c:strRef>
              <c:f>'Pivot tables'!$A$14:$A$15</c:f>
              <c:strCache>
                <c:ptCount val="2"/>
                <c:pt idx="0">
                  <c:v>Non-current Assets</c:v>
                </c:pt>
                <c:pt idx="1">
                  <c:v>Current Assets</c:v>
                </c:pt>
              </c:strCache>
            </c:strRef>
          </c:cat>
          <c:val>
            <c:numRef>
              <c:f>'Pivot tables'!$E$14:$E$15</c:f>
              <c:numCache>
                <c:formatCode>"₹"\ #,##0.00</c:formatCode>
                <c:ptCount val="2"/>
                <c:pt idx="0">
                  <c:v>59916</c:v>
                </c:pt>
                <c:pt idx="1">
                  <c:v>92784</c:v>
                </c:pt>
              </c:numCache>
            </c:numRef>
          </c:val>
          <c:extLst>
            <c:ext xmlns:c16="http://schemas.microsoft.com/office/drawing/2014/chart" uri="{C3380CC4-5D6E-409C-BE32-E72D297353CC}">
              <c16:uniqueId val="{00000003-5477-4CEA-97BB-A8E28B0223DD}"/>
            </c:ext>
          </c:extLst>
        </c:ser>
        <c:ser>
          <c:idx val="4"/>
          <c:order val="4"/>
          <c:tx>
            <c:strRef>
              <c:f>'Pivot tables'!$F$13</c:f>
              <c:strCache>
                <c:ptCount val="1"/>
                <c:pt idx="0">
                  <c:v>FY22</c:v>
                </c:pt>
              </c:strCache>
            </c:strRef>
          </c:tx>
          <c:spPr>
            <a:solidFill>
              <a:schemeClr val="accent5"/>
            </a:solidFill>
            <a:ln>
              <a:noFill/>
            </a:ln>
            <a:effectLst/>
          </c:spPr>
          <c:invertIfNegative val="0"/>
          <c:cat>
            <c:strRef>
              <c:f>'Pivot tables'!$A$14:$A$15</c:f>
              <c:strCache>
                <c:ptCount val="2"/>
                <c:pt idx="0">
                  <c:v>Non-current Assets</c:v>
                </c:pt>
                <c:pt idx="1">
                  <c:v>Current Assets</c:v>
                </c:pt>
              </c:strCache>
            </c:strRef>
          </c:cat>
          <c:val>
            <c:numRef>
              <c:f>'Pivot tables'!$F$14:$F$15</c:f>
              <c:numCache>
                <c:formatCode>"₹"\ #,##0.00</c:formatCode>
                <c:ptCount val="2"/>
                <c:pt idx="0">
                  <c:v>55435</c:v>
                </c:pt>
                <c:pt idx="1">
                  <c:v>94192</c:v>
                </c:pt>
              </c:numCache>
            </c:numRef>
          </c:val>
          <c:extLst>
            <c:ext xmlns:c16="http://schemas.microsoft.com/office/drawing/2014/chart" uri="{C3380CC4-5D6E-409C-BE32-E72D297353CC}">
              <c16:uniqueId val="{00000004-5477-4CEA-97BB-A8E28B0223DD}"/>
            </c:ext>
          </c:extLst>
        </c:ser>
        <c:ser>
          <c:idx val="5"/>
          <c:order val="5"/>
          <c:tx>
            <c:strRef>
              <c:f>'Pivot tables'!$G$13</c:f>
              <c:strCache>
                <c:ptCount val="1"/>
                <c:pt idx="0">
                  <c:v>FY21</c:v>
                </c:pt>
              </c:strCache>
            </c:strRef>
          </c:tx>
          <c:spPr>
            <a:solidFill>
              <a:schemeClr val="accent6"/>
            </a:solidFill>
            <a:ln>
              <a:noFill/>
            </a:ln>
            <a:effectLst/>
          </c:spPr>
          <c:invertIfNegative val="0"/>
          <c:cat>
            <c:strRef>
              <c:f>'Pivot tables'!$A$14:$A$15</c:f>
              <c:strCache>
                <c:ptCount val="2"/>
                <c:pt idx="0">
                  <c:v>Non-current Assets</c:v>
                </c:pt>
                <c:pt idx="1">
                  <c:v>Current Assets</c:v>
                </c:pt>
              </c:strCache>
            </c:strRef>
          </c:cat>
          <c:val>
            <c:numRef>
              <c:f>'Pivot tables'!$G$14:$G$15</c:f>
              <c:numCache>
                <c:formatCode>"₹"\ #,##0.00</c:formatCode>
                <c:ptCount val="2"/>
                <c:pt idx="0">
                  <c:v>44875</c:v>
                </c:pt>
                <c:pt idx="1">
                  <c:v>83160</c:v>
                </c:pt>
              </c:numCache>
            </c:numRef>
          </c:val>
          <c:extLst>
            <c:ext xmlns:c16="http://schemas.microsoft.com/office/drawing/2014/chart" uri="{C3380CC4-5D6E-409C-BE32-E72D297353CC}">
              <c16:uniqueId val="{00000005-5477-4CEA-97BB-A8E28B0223DD}"/>
            </c:ext>
          </c:extLst>
        </c:ser>
        <c:dLbls>
          <c:showLegendKey val="0"/>
          <c:showVal val="0"/>
          <c:showCatName val="0"/>
          <c:showSerName val="0"/>
          <c:showPercent val="0"/>
          <c:showBubbleSize val="0"/>
        </c:dLbls>
        <c:gapWidth val="219"/>
        <c:axId val="1657233855"/>
        <c:axId val="1657217535"/>
      </c:barChart>
      <c:catAx>
        <c:axId val="165723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7217535"/>
        <c:crosses val="autoZero"/>
        <c:auto val="1"/>
        <c:lblAlgn val="ctr"/>
        <c:lblOffset val="100"/>
        <c:noMultiLvlLbl val="0"/>
      </c:catAx>
      <c:valAx>
        <c:axId val="1657217535"/>
        <c:scaling>
          <c:orientation val="minMax"/>
        </c:scaling>
        <c:delete val="1"/>
        <c:axPos val="b"/>
        <c:numFmt formatCode="&quot;₹&quot;\ #,##0.00" sourceLinked="1"/>
        <c:majorTickMark val="none"/>
        <c:minorTickMark val="none"/>
        <c:tickLblPos val="nextTo"/>
        <c:crossAx val="165723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2060"/>
      </a:solidFill>
      <a:round/>
    </a:ln>
    <a:effectLst/>
  </c:spPr>
  <c:txPr>
    <a:bodyPr/>
    <a:lstStyle/>
    <a:p>
      <a:pPr>
        <a:defRPr b="1"/>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tables'!$B$13</c:f>
              <c:strCache>
                <c:ptCount val="1"/>
                <c:pt idx="0">
                  <c:v>FY26</c:v>
                </c:pt>
              </c:strCache>
            </c:strRef>
          </c:tx>
          <c:spPr>
            <a:solidFill>
              <a:schemeClr val="accent1"/>
            </a:solidFill>
            <a:ln>
              <a:noFill/>
            </a:ln>
            <a:effectLst/>
          </c:spPr>
          <c:invertIfNegative val="0"/>
          <c:cat>
            <c:strRef>
              <c:extLst>
                <c:ext xmlns:c15="http://schemas.microsoft.com/office/drawing/2012/chart" uri="{02D57815-91ED-43cb-92C2-25804820EDAC}">
                  <c15:fullRef>
                    <c15:sqref>'Pivot tables'!$A$14:$A$18</c15:sqref>
                  </c15:fullRef>
                </c:ext>
              </c:extLst>
              <c:f>'Pivot tables'!$A$16:$A$18</c:f>
              <c:strCache>
                <c:ptCount val="3"/>
                <c:pt idx="0">
                  <c:v>Equity</c:v>
                </c:pt>
                <c:pt idx="1">
                  <c:v>Non-current Liabilities</c:v>
                </c:pt>
                <c:pt idx="2">
                  <c:v>Current Liabilities</c:v>
                </c:pt>
              </c:strCache>
            </c:strRef>
          </c:cat>
          <c:val>
            <c:numRef>
              <c:extLst>
                <c:ext xmlns:c15="http://schemas.microsoft.com/office/drawing/2012/chart" uri="{02D57815-91ED-43cb-92C2-25804820EDAC}">
                  <c15:fullRef>
                    <c15:sqref>'Pivot tables'!$B$14:$B$18</c15:sqref>
                  </c15:fullRef>
                </c:ext>
              </c:extLst>
              <c:f>'Pivot tables'!$B$16:$B$18</c:f>
              <c:numCache>
                <c:formatCode>"₹"\ #,##0.00</c:formatCode>
                <c:ptCount val="3"/>
                <c:pt idx="0">
                  <c:v>108478</c:v>
                </c:pt>
                <c:pt idx="1">
                  <c:v>12980</c:v>
                </c:pt>
                <c:pt idx="2">
                  <c:v>60914</c:v>
                </c:pt>
              </c:numCache>
            </c:numRef>
          </c:val>
          <c:extLst>
            <c:ext xmlns:c16="http://schemas.microsoft.com/office/drawing/2014/chart" uri="{C3380CC4-5D6E-409C-BE32-E72D297353CC}">
              <c16:uniqueId val="{00000000-EF3B-4DE3-BCC6-015FE2D9128A}"/>
            </c:ext>
          </c:extLst>
        </c:ser>
        <c:ser>
          <c:idx val="1"/>
          <c:order val="1"/>
          <c:tx>
            <c:strRef>
              <c:f>'Pivot tables'!$C$13</c:f>
              <c:strCache>
                <c:ptCount val="1"/>
                <c:pt idx="0">
                  <c:v>FY25</c:v>
                </c:pt>
              </c:strCache>
            </c:strRef>
          </c:tx>
          <c:spPr>
            <a:solidFill>
              <a:schemeClr val="accent2"/>
            </a:solidFill>
            <a:ln>
              <a:noFill/>
            </a:ln>
            <a:effectLst/>
          </c:spPr>
          <c:invertIfNegative val="0"/>
          <c:cat>
            <c:strRef>
              <c:extLst>
                <c:ext xmlns:c15="http://schemas.microsoft.com/office/drawing/2012/chart" uri="{02D57815-91ED-43cb-92C2-25804820EDAC}">
                  <c15:fullRef>
                    <c15:sqref>'Pivot tables'!$A$14:$A$18</c15:sqref>
                  </c15:fullRef>
                </c:ext>
              </c:extLst>
              <c:f>'Pivot tables'!$A$16:$A$18</c:f>
              <c:strCache>
                <c:ptCount val="3"/>
                <c:pt idx="0">
                  <c:v>Equity</c:v>
                </c:pt>
                <c:pt idx="1">
                  <c:v>Non-current Liabilities</c:v>
                </c:pt>
                <c:pt idx="2">
                  <c:v>Current Liabilities</c:v>
                </c:pt>
              </c:strCache>
            </c:strRef>
          </c:cat>
          <c:val>
            <c:numRef>
              <c:extLst>
                <c:ext xmlns:c15="http://schemas.microsoft.com/office/drawing/2012/chart" uri="{02D57815-91ED-43cb-92C2-25804820EDAC}">
                  <c15:fullRef>
                    <c15:sqref>'Pivot tables'!$C$14:$C$18</c15:sqref>
                  </c15:fullRef>
                </c:ext>
              </c:extLst>
              <c:f>'Pivot tables'!$C$16:$C$18</c:f>
              <c:numCache>
                <c:formatCode>"₹"\ #,##0.00</c:formatCode>
                <c:ptCount val="3"/>
                <c:pt idx="0">
                  <c:v>95771</c:v>
                </c:pt>
                <c:pt idx="1">
                  <c:v>10857</c:v>
                </c:pt>
                <c:pt idx="2">
                  <c:v>53001</c:v>
                </c:pt>
              </c:numCache>
            </c:numRef>
          </c:val>
          <c:extLst>
            <c:ext xmlns:c16="http://schemas.microsoft.com/office/drawing/2014/chart" uri="{C3380CC4-5D6E-409C-BE32-E72D297353CC}">
              <c16:uniqueId val="{00000001-EF3B-4DE3-BCC6-015FE2D9128A}"/>
            </c:ext>
          </c:extLst>
        </c:ser>
        <c:ser>
          <c:idx val="2"/>
          <c:order val="2"/>
          <c:tx>
            <c:strRef>
              <c:f>'Pivot tables'!$D$13</c:f>
              <c:strCache>
                <c:ptCount val="1"/>
                <c:pt idx="0">
                  <c:v>FY24</c:v>
                </c:pt>
              </c:strCache>
            </c:strRef>
          </c:tx>
          <c:spPr>
            <a:solidFill>
              <a:schemeClr val="accent3"/>
            </a:solidFill>
            <a:ln>
              <a:noFill/>
            </a:ln>
            <a:effectLst/>
          </c:spPr>
          <c:invertIfNegative val="0"/>
          <c:cat>
            <c:strRef>
              <c:extLst>
                <c:ext xmlns:c15="http://schemas.microsoft.com/office/drawing/2012/chart" uri="{02D57815-91ED-43cb-92C2-25804820EDAC}">
                  <c15:fullRef>
                    <c15:sqref>'Pivot tables'!$A$14:$A$18</c15:sqref>
                  </c15:fullRef>
                </c:ext>
              </c:extLst>
              <c:f>'Pivot tables'!$A$16:$A$18</c:f>
              <c:strCache>
                <c:ptCount val="3"/>
                <c:pt idx="0">
                  <c:v>Equity</c:v>
                </c:pt>
                <c:pt idx="1">
                  <c:v>Non-current Liabilities</c:v>
                </c:pt>
                <c:pt idx="2">
                  <c:v>Current Liabilities</c:v>
                </c:pt>
              </c:strCache>
            </c:strRef>
          </c:cat>
          <c:val>
            <c:numRef>
              <c:extLst>
                <c:ext xmlns:c15="http://schemas.microsoft.com/office/drawing/2012/chart" uri="{02D57815-91ED-43cb-92C2-25804820EDAC}">
                  <c15:fullRef>
                    <c15:sqref>'Pivot tables'!$D$14:$D$18</c15:sqref>
                  </c15:fullRef>
                </c:ext>
              </c:extLst>
              <c:f>'Pivot tables'!$D$16:$D$18</c:f>
              <c:numCache>
                <c:formatCode>"₹"\ #,##0.00</c:formatCode>
                <c:ptCount val="3"/>
                <c:pt idx="0">
                  <c:v>156916</c:v>
                </c:pt>
                <c:pt idx="1">
                  <c:v>5859</c:v>
                </c:pt>
                <c:pt idx="2">
                  <c:v>72921</c:v>
                </c:pt>
              </c:numCache>
            </c:numRef>
          </c:val>
          <c:extLst>
            <c:ext xmlns:c16="http://schemas.microsoft.com/office/drawing/2014/chart" uri="{C3380CC4-5D6E-409C-BE32-E72D297353CC}">
              <c16:uniqueId val="{00000002-EF3B-4DE3-BCC6-015FE2D9128A}"/>
            </c:ext>
          </c:extLst>
        </c:ser>
        <c:ser>
          <c:idx val="3"/>
          <c:order val="3"/>
          <c:tx>
            <c:strRef>
              <c:f>'Pivot tables'!$E$13</c:f>
              <c:strCache>
                <c:ptCount val="1"/>
                <c:pt idx="0">
                  <c:v>FY23</c:v>
                </c:pt>
              </c:strCache>
            </c:strRef>
          </c:tx>
          <c:spPr>
            <a:solidFill>
              <a:schemeClr val="accent4"/>
            </a:solidFill>
            <a:ln>
              <a:noFill/>
            </a:ln>
            <a:effectLst/>
          </c:spPr>
          <c:invertIfNegative val="0"/>
          <c:cat>
            <c:strRef>
              <c:extLst>
                <c:ext xmlns:c15="http://schemas.microsoft.com/office/drawing/2012/chart" uri="{02D57815-91ED-43cb-92C2-25804820EDAC}">
                  <c15:fullRef>
                    <c15:sqref>'Pivot tables'!$A$14:$A$18</c15:sqref>
                  </c15:fullRef>
                </c:ext>
              </c:extLst>
              <c:f>'Pivot tables'!$A$16:$A$18</c:f>
              <c:strCache>
                <c:ptCount val="3"/>
                <c:pt idx="0">
                  <c:v>Equity</c:v>
                </c:pt>
                <c:pt idx="1">
                  <c:v>Non-current Liabilities</c:v>
                </c:pt>
                <c:pt idx="2">
                  <c:v>Current Liabilities</c:v>
                </c:pt>
              </c:strCache>
            </c:strRef>
          </c:cat>
          <c:val>
            <c:numRef>
              <c:extLst>
                <c:ext xmlns:c15="http://schemas.microsoft.com/office/drawing/2012/chart" uri="{02D57815-91ED-43cb-92C2-25804820EDAC}">
                  <c15:fullRef>
                    <c15:sqref>'Pivot tables'!$E$14:$E$18</c15:sqref>
                  </c15:fullRef>
                </c:ext>
              </c:extLst>
              <c:f>'Pivot tables'!$E$16:$E$18</c:f>
              <c:numCache>
                <c:formatCode>"₹"\ #,##0.00</c:formatCode>
                <c:ptCount val="3"/>
                <c:pt idx="0">
                  <c:v>136812</c:v>
                </c:pt>
                <c:pt idx="1">
                  <c:v>5923</c:v>
                </c:pt>
                <c:pt idx="2">
                  <c:v>61965</c:v>
                </c:pt>
              </c:numCache>
            </c:numRef>
          </c:val>
          <c:extLst>
            <c:ext xmlns:c16="http://schemas.microsoft.com/office/drawing/2014/chart" uri="{C3380CC4-5D6E-409C-BE32-E72D297353CC}">
              <c16:uniqueId val="{00000003-EF3B-4DE3-BCC6-015FE2D9128A}"/>
            </c:ext>
          </c:extLst>
        </c:ser>
        <c:ser>
          <c:idx val="4"/>
          <c:order val="4"/>
          <c:tx>
            <c:strRef>
              <c:f>'Pivot tables'!$F$13</c:f>
              <c:strCache>
                <c:ptCount val="1"/>
                <c:pt idx="0">
                  <c:v>FY22</c:v>
                </c:pt>
              </c:strCache>
            </c:strRef>
          </c:tx>
          <c:spPr>
            <a:solidFill>
              <a:schemeClr val="accent5"/>
            </a:solidFill>
            <a:ln>
              <a:noFill/>
            </a:ln>
            <a:effectLst/>
          </c:spPr>
          <c:invertIfNegative val="0"/>
          <c:cat>
            <c:strRef>
              <c:extLst>
                <c:ext xmlns:c15="http://schemas.microsoft.com/office/drawing/2012/chart" uri="{02D57815-91ED-43cb-92C2-25804820EDAC}">
                  <c15:fullRef>
                    <c15:sqref>'Pivot tables'!$A$14:$A$18</c15:sqref>
                  </c15:fullRef>
                </c:ext>
              </c:extLst>
              <c:f>'Pivot tables'!$A$16:$A$18</c:f>
              <c:strCache>
                <c:ptCount val="3"/>
                <c:pt idx="0">
                  <c:v>Equity</c:v>
                </c:pt>
                <c:pt idx="1">
                  <c:v>Non-current Liabilities</c:v>
                </c:pt>
                <c:pt idx="2">
                  <c:v>Current Liabilities</c:v>
                </c:pt>
              </c:strCache>
            </c:strRef>
          </c:cat>
          <c:val>
            <c:numRef>
              <c:extLst>
                <c:ext xmlns:c15="http://schemas.microsoft.com/office/drawing/2012/chart" uri="{02D57815-91ED-43cb-92C2-25804820EDAC}">
                  <c15:fullRef>
                    <c15:sqref>'Pivot tables'!$F$14:$F$18</c15:sqref>
                  </c15:fullRef>
                </c:ext>
              </c:extLst>
              <c:f>'Pivot tables'!$F$16:$F$18</c:f>
              <c:numCache>
                <c:formatCode>"₹"\ #,##0.00</c:formatCode>
                <c:ptCount val="3"/>
                <c:pt idx="0">
                  <c:v>127925</c:v>
                </c:pt>
                <c:pt idx="1">
                  <c:v>5831</c:v>
                </c:pt>
                <c:pt idx="2">
                  <c:v>57871</c:v>
                </c:pt>
              </c:numCache>
            </c:numRef>
          </c:val>
          <c:extLst>
            <c:ext xmlns:c16="http://schemas.microsoft.com/office/drawing/2014/chart" uri="{C3380CC4-5D6E-409C-BE32-E72D297353CC}">
              <c16:uniqueId val="{00000004-EF3B-4DE3-BCC6-015FE2D9128A}"/>
            </c:ext>
          </c:extLst>
        </c:ser>
        <c:ser>
          <c:idx val="5"/>
          <c:order val="5"/>
          <c:tx>
            <c:strRef>
              <c:f>'Pivot tables'!$G$13</c:f>
              <c:strCache>
                <c:ptCount val="1"/>
                <c:pt idx="0">
                  <c:v>FY21</c:v>
                </c:pt>
              </c:strCache>
            </c:strRef>
          </c:tx>
          <c:spPr>
            <a:solidFill>
              <a:schemeClr val="accent6"/>
            </a:solidFill>
            <a:ln>
              <a:noFill/>
            </a:ln>
            <a:effectLst/>
          </c:spPr>
          <c:invertIfNegative val="0"/>
          <c:cat>
            <c:strRef>
              <c:extLst>
                <c:ext xmlns:c15="http://schemas.microsoft.com/office/drawing/2012/chart" uri="{02D57815-91ED-43cb-92C2-25804820EDAC}">
                  <c15:fullRef>
                    <c15:sqref>'Pivot tables'!$A$14:$A$18</c15:sqref>
                  </c15:fullRef>
                </c:ext>
              </c:extLst>
              <c:f>'Pivot tables'!$A$16:$A$18</c:f>
              <c:strCache>
                <c:ptCount val="3"/>
                <c:pt idx="0">
                  <c:v>Equity</c:v>
                </c:pt>
                <c:pt idx="1">
                  <c:v>Non-current Liabilities</c:v>
                </c:pt>
                <c:pt idx="2">
                  <c:v>Current Liabilities</c:v>
                </c:pt>
              </c:strCache>
            </c:strRef>
          </c:cat>
          <c:val>
            <c:numRef>
              <c:extLst>
                <c:ext xmlns:c15="http://schemas.microsoft.com/office/drawing/2012/chart" uri="{02D57815-91ED-43cb-92C2-25804820EDAC}">
                  <c15:fullRef>
                    <c15:sqref>'Pivot tables'!$G$14:$G$18</c15:sqref>
                  </c15:fullRef>
                </c:ext>
              </c:extLst>
              <c:f>'Pivot tables'!$G$16:$G$18</c:f>
              <c:numCache>
                <c:formatCode>"₹"\ #,##0.00</c:formatCode>
                <c:ptCount val="3"/>
                <c:pt idx="0">
                  <c:v>115156</c:v>
                </c:pt>
                <c:pt idx="1">
                  <c:v>5610</c:v>
                </c:pt>
                <c:pt idx="2">
                  <c:v>50269</c:v>
                </c:pt>
              </c:numCache>
            </c:numRef>
          </c:val>
          <c:extLst>
            <c:ext xmlns:c16="http://schemas.microsoft.com/office/drawing/2014/chart" uri="{C3380CC4-5D6E-409C-BE32-E72D297353CC}">
              <c16:uniqueId val="{00000005-EF3B-4DE3-BCC6-015FE2D9128A}"/>
            </c:ext>
          </c:extLst>
        </c:ser>
        <c:dLbls>
          <c:showLegendKey val="0"/>
          <c:showVal val="0"/>
          <c:showCatName val="0"/>
          <c:showSerName val="0"/>
          <c:showPercent val="0"/>
          <c:showBubbleSize val="0"/>
        </c:dLbls>
        <c:gapWidth val="182"/>
        <c:axId val="1657223295"/>
        <c:axId val="1657241055"/>
      </c:barChart>
      <c:catAx>
        <c:axId val="165722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7241055"/>
        <c:crosses val="autoZero"/>
        <c:auto val="1"/>
        <c:lblAlgn val="ctr"/>
        <c:lblOffset val="100"/>
        <c:noMultiLvlLbl val="0"/>
      </c:catAx>
      <c:valAx>
        <c:axId val="1657241055"/>
        <c:scaling>
          <c:orientation val="minMax"/>
        </c:scaling>
        <c:delete val="1"/>
        <c:axPos val="b"/>
        <c:numFmt formatCode="&quot;₹&quot;\ #,##0.00" sourceLinked="1"/>
        <c:majorTickMark val="none"/>
        <c:minorTickMark val="none"/>
        <c:tickLblPos val="nextTo"/>
        <c:crossAx val="165722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tables'!$B$20</c:f>
              <c:strCache>
                <c:ptCount val="1"/>
                <c:pt idx="0">
                  <c:v>FY26</c:v>
                </c:pt>
              </c:strCache>
            </c:strRef>
          </c:tx>
          <c:spPr>
            <a:solidFill>
              <a:schemeClr val="accent2"/>
            </a:solidFill>
            <a:ln>
              <a:noFill/>
            </a:ln>
            <a:effectLst/>
          </c:spPr>
          <c:invertIfNegative val="0"/>
          <c:cat>
            <c:strRef>
              <c:f>'Pivot tables'!$A$21:$A$23</c:f>
              <c:strCache>
                <c:ptCount val="3"/>
                <c:pt idx="0">
                  <c:v>Operating CF</c:v>
                </c:pt>
                <c:pt idx="1">
                  <c:v>Investing CF</c:v>
                </c:pt>
                <c:pt idx="2">
                  <c:v>Financing CF</c:v>
                </c:pt>
              </c:strCache>
            </c:strRef>
          </c:cat>
          <c:val>
            <c:numRef>
              <c:f>'Pivot tables'!$B$21:$B$23</c:f>
              <c:numCache>
                <c:formatCode>#,##0;\(#,##0\)</c:formatCode>
                <c:ptCount val="3"/>
                <c:pt idx="0">
                  <c:v>52094</c:v>
                </c:pt>
                <c:pt idx="1">
                  <c:v>-12845</c:v>
                </c:pt>
                <c:pt idx="2">
                  <c:v>-42133</c:v>
                </c:pt>
              </c:numCache>
            </c:numRef>
          </c:val>
          <c:extLst>
            <c:ext xmlns:c16="http://schemas.microsoft.com/office/drawing/2014/chart" uri="{C3380CC4-5D6E-409C-BE32-E72D297353CC}">
              <c16:uniqueId val="{00000000-FA21-4F1E-AE53-53708C8BFD74}"/>
            </c:ext>
          </c:extLst>
        </c:ser>
        <c:ser>
          <c:idx val="1"/>
          <c:order val="1"/>
          <c:tx>
            <c:strRef>
              <c:f>'Pivot tables'!$C$20</c:f>
              <c:strCache>
                <c:ptCount val="1"/>
                <c:pt idx="0">
                  <c:v>FY25</c:v>
                </c:pt>
              </c:strCache>
            </c:strRef>
          </c:tx>
          <c:spPr>
            <a:solidFill>
              <a:schemeClr val="accent4"/>
            </a:solidFill>
            <a:ln>
              <a:noFill/>
            </a:ln>
            <a:effectLst/>
          </c:spPr>
          <c:invertIfNegative val="0"/>
          <c:cat>
            <c:strRef>
              <c:f>'Pivot tables'!$A$21:$A$23</c:f>
              <c:strCache>
                <c:ptCount val="3"/>
                <c:pt idx="0">
                  <c:v>Operating CF</c:v>
                </c:pt>
                <c:pt idx="1">
                  <c:v>Investing CF</c:v>
                </c:pt>
                <c:pt idx="2">
                  <c:v>Financing CF</c:v>
                </c:pt>
              </c:strCache>
            </c:strRef>
          </c:cat>
          <c:val>
            <c:numRef>
              <c:f>'Pivot tables'!$C$21:$C$23</c:f>
              <c:numCache>
                <c:formatCode>#,##0;\(#,##0\)</c:formatCode>
                <c:ptCount val="3"/>
                <c:pt idx="0">
                  <c:v>48908</c:v>
                </c:pt>
                <c:pt idx="1">
                  <c:v>-2318</c:v>
                </c:pt>
                <c:pt idx="2">
                  <c:v>-47438</c:v>
                </c:pt>
              </c:numCache>
            </c:numRef>
          </c:val>
          <c:extLst>
            <c:ext xmlns:c16="http://schemas.microsoft.com/office/drawing/2014/chart" uri="{C3380CC4-5D6E-409C-BE32-E72D297353CC}">
              <c16:uniqueId val="{00000001-FA21-4F1E-AE53-53708C8BFD74}"/>
            </c:ext>
          </c:extLst>
        </c:ser>
        <c:ser>
          <c:idx val="2"/>
          <c:order val="2"/>
          <c:tx>
            <c:strRef>
              <c:f>'Pivot tables'!$D$20</c:f>
              <c:strCache>
                <c:ptCount val="1"/>
                <c:pt idx="0">
                  <c:v>FY24</c:v>
                </c:pt>
              </c:strCache>
            </c:strRef>
          </c:tx>
          <c:spPr>
            <a:solidFill>
              <a:schemeClr val="accent6"/>
            </a:solidFill>
            <a:ln>
              <a:noFill/>
            </a:ln>
            <a:effectLst/>
          </c:spPr>
          <c:invertIfNegative val="0"/>
          <c:cat>
            <c:strRef>
              <c:f>'Pivot tables'!$A$21:$A$23</c:f>
              <c:strCache>
                <c:ptCount val="3"/>
                <c:pt idx="0">
                  <c:v>Operating CF</c:v>
                </c:pt>
                <c:pt idx="1">
                  <c:v>Investing CF</c:v>
                </c:pt>
                <c:pt idx="2">
                  <c:v>Financing CF</c:v>
                </c:pt>
              </c:strCache>
            </c:strRef>
          </c:cat>
          <c:val>
            <c:numRef>
              <c:f>'Pivot tables'!$D$21:$D$23</c:f>
              <c:numCache>
                <c:formatCode>#,##0;\(#,##0\)</c:formatCode>
                <c:ptCount val="3"/>
                <c:pt idx="0">
                  <c:v>44338</c:v>
                </c:pt>
                <c:pt idx="1">
                  <c:v>6019</c:v>
                </c:pt>
                <c:pt idx="2">
                  <c:v>-45082</c:v>
                </c:pt>
              </c:numCache>
            </c:numRef>
          </c:val>
          <c:extLst>
            <c:ext xmlns:c16="http://schemas.microsoft.com/office/drawing/2014/chart" uri="{C3380CC4-5D6E-409C-BE32-E72D297353CC}">
              <c16:uniqueId val="{00000002-FA21-4F1E-AE53-53708C8BFD74}"/>
            </c:ext>
          </c:extLst>
        </c:ser>
        <c:ser>
          <c:idx val="3"/>
          <c:order val="3"/>
          <c:tx>
            <c:strRef>
              <c:f>'Pivot tables'!$E$20</c:f>
              <c:strCache>
                <c:ptCount val="1"/>
                <c:pt idx="0">
                  <c:v>FY23</c:v>
                </c:pt>
              </c:strCache>
            </c:strRef>
          </c:tx>
          <c:spPr>
            <a:solidFill>
              <a:schemeClr val="accent2">
                <a:lumMod val="60000"/>
              </a:schemeClr>
            </a:solidFill>
            <a:ln>
              <a:noFill/>
            </a:ln>
            <a:effectLst/>
          </c:spPr>
          <c:invertIfNegative val="0"/>
          <c:cat>
            <c:strRef>
              <c:f>'Pivot tables'!$A$21:$A$23</c:f>
              <c:strCache>
                <c:ptCount val="3"/>
                <c:pt idx="0">
                  <c:v>Operating CF</c:v>
                </c:pt>
                <c:pt idx="1">
                  <c:v>Investing CF</c:v>
                </c:pt>
                <c:pt idx="2">
                  <c:v>Financing CF</c:v>
                </c:pt>
              </c:strCache>
            </c:strRef>
          </c:cat>
          <c:val>
            <c:numRef>
              <c:f>'Pivot tables'!$E$21:$E$23</c:f>
              <c:numCache>
                <c:formatCode>#,##0;\(#,##0\)</c:formatCode>
                <c:ptCount val="3"/>
                <c:pt idx="0">
                  <c:v>41965</c:v>
                </c:pt>
                <c:pt idx="1">
                  <c:v>39</c:v>
                </c:pt>
                <c:pt idx="2">
                  <c:v>-43819</c:v>
                </c:pt>
              </c:numCache>
            </c:numRef>
          </c:val>
          <c:extLst>
            <c:ext xmlns:c16="http://schemas.microsoft.com/office/drawing/2014/chart" uri="{C3380CC4-5D6E-409C-BE32-E72D297353CC}">
              <c16:uniqueId val="{00000003-FA21-4F1E-AE53-53708C8BFD74}"/>
            </c:ext>
          </c:extLst>
        </c:ser>
        <c:ser>
          <c:idx val="4"/>
          <c:order val="4"/>
          <c:tx>
            <c:strRef>
              <c:f>'Pivot tables'!$F$20</c:f>
              <c:strCache>
                <c:ptCount val="1"/>
                <c:pt idx="0">
                  <c:v>FY22</c:v>
                </c:pt>
              </c:strCache>
            </c:strRef>
          </c:tx>
          <c:spPr>
            <a:solidFill>
              <a:schemeClr val="accent4">
                <a:lumMod val="60000"/>
              </a:schemeClr>
            </a:solidFill>
            <a:ln>
              <a:noFill/>
            </a:ln>
            <a:effectLst/>
          </c:spPr>
          <c:invertIfNegative val="0"/>
          <c:cat>
            <c:strRef>
              <c:f>'Pivot tables'!$A$21:$A$23</c:f>
              <c:strCache>
                <c:ptCount val="3"/>
                <c:pt idx="0">
                  <c:v>Operating CF</c:v>
                </c:pt>
                <c:pt idx="1">
                  <c:v>Investing CF</c:v>
                </c:pt>
                <c:pt idx="2">
                  <c:v>Financing CF</c:v>
                </c:pt>
              </c:strCache>
            </c:strRef>
          </c:cat>
          <c:val>
            <c:numRef>
              <c:f>'Pivot tables'!$F$21:$F$23</c:f>
              <c:numCache>
                <c:formatCode>#,##0;\(#,##0\)</c:formatCode>
                <c:ptCount val="3"/>
                <c:pt idx="0">
                  <c:v>39949</c:v>
                </c:pt>
                <c:pt idx="1">
                  <c:v>-897</c:v>
                </c:pt>
                <c:pt idx="2">
                  <c:v>-40546</c:v>
                </c:pt>
              </c:numCache>
            </c:numRef>
          </c:val>
          <c:extLst>
            <c:ext xmlns:c16="http://schemas.microsoft.com/office/drawing/2014/chart" uri="{C3380CC4-5D6E-409C-BE32-E72D297353CC}">
              <c16:uniqueId val="{00000004-FA21-4F1E-AE53-53708C8BFD74}"/>
            </c:ext>
          </c:extLst>
        </c:ser>
        <c:ser>
          <c:idx val="5"/>
          <c:order val="5"/>
          <c:tx>
            <c:strRef>
              <c:f>'Pivot tables'!$G$20</c:f>
              <c:strCache>
                <c:ptCount val="1"/>
                <c:pt idx="0">
                  <c:v>FY21</c:v>
                </c:pt>
              </c:strCache>
            </c:strRef>
          </c:tx>
          <c:spPr>
            <a:solidFill>
              <a:schemeClr val="accent6">
                <a:lumMod val="60000"/>
              </a:schemeClr>
            </a:solidFill>
            <a:ln>
              <a:noFill/>
            </a:ln>
            <a:effectLst/>
          </c:spPr>
          <c:invertIfNegative val="0"/>
          <c:cat>
            <c:strRef>
              <c:f>'Pivot tables'!$A$21:$A$23</c:f>
              <c:strCache>
                <c:ptCount val="3"/>
                <c:pt idx="0">
                  <c:v>Operating CF</c:v>
                </c:pt>
                <c:pt idx="1">
                  <c:v>Investing CF</c:v>
                </c:pt>
                <c:pt idx="2">
                  <c:v>Financing CF</c:v>
                </c:pt>
              </c:strCache>
            </c:strRef>
          </c:cat>
          <c:val>
            <c:numRef>
              <c:f>'Pivot tables'!$G$21:$G$23</c:f>
              <c:numCache>
                <c:formatCode>#,##0;\(#,##0\)</c:formatCode>
                <c:ptCount val="3"/>
                <c:pt idx="0">
                  <c:v>38802</c:v>
                </c:pt>
                <c:pt idx="1">
                  <c:v>-8129</c:v>
                </c:pt>
                <c:pt idx="2">
                  <c:v>-34947</c:v>
                </c:pt>
              </c:numCache>
            </c:numRef>
          </c:val>
          <c:extLst>
            <c:ext xmlns:c16="http://schemas.microsoft.com/office/drawing/2014/chart" uri="{C3380CC4-5D6E-409C-BE32-E72D297353CC}">
              <c16:uniqueId val="{00000005-FA21-4F1E-AE53-53708C8BFD74}"/>
            </c:ext>
          </c:extLst>
        </c:ser>
        <c:dLbls>
          <c:showLegendKey val="0"/>
          <c:showVal val="0"/>
          <c:showCatName val="0"/>
          <c:showSerName val="0"/>
          <c:showPercent val="0"/>
          <c:showBubbleSize val="0"/>
        </c:dLbls>
        <c:gapWidth val="219"/>
        <c:overlap val="-27"/>
        <c:axId val="1340122063"/>
        <c:axId val="1340119663"/>
      </c:barChart>
      <c:catAx>
        <c:axId val="1340122063"/>
        <c:scaling>
          <c:orientation val="minMax"/>
        </c:scaling>
        <c:delete val="1"/>
        <c:axPos val="b"/>
        <c:numFmt formatCode="General" sourceLinked="1"/>
        <c:majorTickMark val="out"/>
        <c:minorTickMark val="none"/>
        <c:tickLblPos val="nextTo"/>
        <c:crossAx val="1340119663"/>
        <c:crosses val="autoZero"/>
        <c:auto val="1"/>
        <c:lblAlgn val="ctr"/>
        <c:lblOffset val="100"/>
        <c:noMultiLvlLbl val="0"/>
      </c:catAx>
      <c:valAx>
        <c:axId val="1340119663"/>
        <c:scaling>
          <c:orientation val="minMax"/>
        </c:scaling>
        <c:delete val="1"/>
        <c:axPos val="l"/>
        <c:numFmt formatCode="#,##0;\(#,##0\)" sourceLinked="1"/>
        <c:majorTickMark val="out"/>
        <c:minorTickMark val="none"/>
        <c:tickLblPos val="nextTo"/>
        <c:crossAx val="134012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Analysis'!$A$52</c:f>
              <c:strCache>
                <c:ptCount val="1"/>
                <c:pt idx="0">
                  <c:v>Free Cash Flow</c:v>
                </c:pt>
              </c:strCache>
            </c:strRef>
          </c:tx>
          <c:spPr>
            <a:ln w="28575" cap="rnd">
              <a:solidFill>
                <a:srgbClr val="C00000"/>
              </a:solidFill>
              <a:round/>
            </a:ln>
            <a:effectLst/>
          </c:spPr>
          <c:marker>
            <c:symbol val="circle"/>
            <c:size val="5"/>
            <c:spPr>
              <a:solidFill>
                <a:schemeClr val="accent1"/>
              </a:solidFill>
              <a:ln w="9525">
                <a:solidFill>
                  <a:schemeClr val="accent1"/>
                </a:solidFill>
              </a:ln>
              <a:effectLst/>
            </c:spPr>
          </c:marker>
          <c:cat>
            <c:strRef>
              <c:f>'Trend Analysis'!$B$48:$G$48</c:f>
              <c:strCache>
                <c:ptCount val="6"/>
                <c:pt idx="0">
                  <c:v>FY26</c:v>
                </c:pt>
                <c:pt idx="1">
                  <c:v>FY25</c:v>
                </c:pt>
                <c:pt idx="2">
                  <c:v>FY24</c:v>
                </c:pt>
                <c:pt idx="3">
                  <c:v>FY23</c:v>
                </c:pt>
                <c:pt idx="4">
                  <c:v>FY22</c:v>
                </c:pt>
                <c:pt idx="5">
                  <c:v>FY21</c:v>
                </c:pt>
              </c:strCache>
            </c:strRef>
          </c:cat>
          <c:val>
            <c:numRef>
              <c:f>'Trend Analysis'!$B$52:$G$52</c:f>
              <c:numCache>
                <c:formatCode>General</c:formatCode>
                <c:ptCount val="6"/>
                <c:pt idx="0">
                  <c:v>48424</c:v>
                </c:pt>
                <c:pt idx="1">
                  <c:v>45991</c:v>
                </c:pt>
                <c:pt idx="2">
                  <c:v>42136</c:v>
                </c:pt>
                <c:pt idx="3">
                  <c:v>39433</c:v>
                </c:pt>
                <c:pt idx="4">
                  <c:v>37466</c:v>
                </c:pt>
                <c:pt idx="5">
                  <c:v>36083</c:v>
                </c:pt>
              </c:numCache>
            </c:numRef>
          </c:val>
          <c:smooth val="0"/>
          <c:extLst>
            <c:ext xmlns:c16="http://schemas.microsoft.com/office/drawing/2014/chart" uri="{C3380CC4-5D6E-409C-BE32-E72D297353CC}">
              <c16:uniqueId val="{00000000-0631-4010-837C-EF4E5A5C1F71}"/>
            </c:ext>
          </c:extLst>
        </c:ser>
        <c:dLbls>
          <c:showLegendKey val="0"/>
          <c:showVal val="0"/>
          <c:showCatName val="0"/>
          <c:showSerName val="0"/>
          <c:showPercent val="0"/>
          <c:showBubbleSize val="0"/>
        </c:dLbls>
        <c:marker val="1"/>
        <c:smooth val="0"/>
        <c:axId val="1278862047"/>
        <c:axId val="1278865407"/>
      </c:lineChart>
      <c:catAx>
        <c:axId val="127886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8865407"/>
        <c:crosses val="autoZero"/>
        <c:auto val="1"/>
        <c:lblAlgn val="ctr"/>
        <c:lblOffset val="100"/>
        <c:noMultiLvlLbl val="0"/>
      </c:catAx>
      <c:valAx>
        <c:axId val="1278865407"/>
        <c:scaling>
          <c:orientation val="minMax"/>
        </c:scaling>
        <c:delete val="1"/>
        <c:axPos val="l"/>
        <c:numFmt formatCode="General" sourceLinked="1"/>
        <c:majorTickMark val="none"/>
        <c:minorTickMark val="none"/>
        <c:tickLblPos val="nextTo"/>
        <c:crossAx val="127886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'Ratio analysis'!$A$16</c:f>
              <c:strCache>
                <c:ptCount val="1"/>
                <c:pt idx="0">
                  <c:v>Current Ratio</c:v>
                </c:pt>
              </c:strCache>
            </c:strRef>
          </c:tx>
          <c:spPr>
            <a:solidFill>
              <a:schemeClr val="accent6"/>
            </a:solidFill>
            <a:ln>
              <a:noFill/>
            </a:ln>
            <a:effectLst/>
          </c:spPr>
          <c:invertIfNegative val="0"/>
          <c:cat>
            <c:strRef>
              <c:f>'Ratio analysis'!$C$15:$H$15</c:f>
              <c:strCache>
                <c:ptCount val="6"/>
                <c:pt idx="0">
                  <c:v>FY26</c:v>
                </c:pt>
                <c:pt idx="1">
                  <c:v>FY25</c:v>
                </c:pt>
                <c:pt idx="2">
                  <c:v>FY24</c:v>
                </c:pt>
                <c:pt idx="3">
                  <c:v>FY23</c:v>
                </c:pt>
                <c:pt idx="4">
                  <c:v>FY22</c:v>
                </c:pt>
                <c:pt idx="5">
                  <c:v>FY21</c:v>
                </c:pt>
              </c:strCache>
            </c:strRef>
          </c:cat>
          <c:val>
            <c:numRef>
              <c:f>'Ratio analysis'!$C$16:$H$16</c:f>
              <c:numCache>
                <c:formatCode>0.00</c:formatCode>
                <c:ptCount val="6"/>
                <c:pt idx="0">
                  <c:v>2.2278129822372525</c:v>
                </c:pt>
                <c:pt idx="1">
                  <c:v>2.3209184732363539</c:v>
                </c:pt>
                <c:pt idx="2">
                  <c:v>1.5579874110338585</c:v>
                </c:pt>
                <c:pt idx="3">
                  <c:v>1.497361413701283</c:v>
                </c:pt>
                <c:pt idx="4">
                  <c:v>1.6276200514938397</c:v>
                </c:pt>
                <c:pt idx="5">
                  <c:v>1.6542998667170623</c:v>
                </c:pt>
              </c:numCache>
            </c:numRef>
          </c:val>
          <c:extLst>
            <c:ext xmlns:c16="http://schemas.microsoft.com/office/drawing/2014/chart" uri="{C3380CC4-5D6E-409C-BE32-E72D297353CC}">
              <c16:uniqueId val="{00000000-08E8-40C4-AEAD-B46A50E7643E}"/>
            </c:ext>
          </c:extLst>
        </c:ser>
        <c:ser>
          <c:idx val="1"/>
          <c:order val="1"/>
          <c:tx>
            <c:strRef>
              <c:f>'Ratio analysis'!$A$17</c:f>
              <c:strCache>
                <c:ptCount val="1"/>
                <c:pt idx="0">
                  <c:v>Quick Ratio</c:v>
                </c:pt>
              </c:strCache>
            </c:strRef>
          </c:tx>
          <c:spPr>
            <a:solidFill>
              <a:schemeClr val="accent5"/>
            </a:solidFill>
            <a:ln>
              <a:noFill/>
            </a:ln>
            <a:effectLst/>
          </c:spPr>
          <c:invertIfNegative val="0"/>
          <c:cat>
            <c:strRef>
              <c:f>'Ratio analysis'!$C$15:$H$15</c:f>
              <c:strCache>
                <c:ptCount val="6"/>
                <c:pt idx="0">
                  <c:v>FY26</c:v>
                </c:pt>
                <c:pt idx="1">
                  <c:v>FY25</c:v>
                </c:pt>
                <c:pt idx="2">
                  <c:v>FY24</c:v>
                </c:pt>
                <c:pt idx="3">
                  <c:v>FY23</c:v>
                </c:pt>
                <c:pt idx="4">
                  <c:v>FY22</c:v>
                </c:pt>
                <c:pt idx="5">
                  <c:v>FY21</c:v>
                </c:pt>
              </c:strCache>
            </c:strRef>
          </c:cat>
          <c:val>
            <c:numRef>
              <c:f>'Ratio analysis'!$C$17:$H$17</c:f>
              <c:numCache>
                <c:formatCode>0.00</c:formatCode>
                <c:ptCount val="6"/>
                <c:pt idx="0">
                  <c:v>2.2273369012049775</c:v>
                </c:pt>
                <c:pt idx="1">
                  <c:v>2.3205222542970887</c:v>
                </c:pt>
                <c:pt idx="2">
                  <c:v>1.5575897203823315</c:v>
                </c:pt>
                <c:pt idx="3">
                  <c:v>1.4969256838537883</c:v>
                </c:pt>
                <c:pt idx="4">
                  <c:v>1.6272917350659224</c:v>
                </c:pt>
                <c:pt idx="5">
                  <c:v>1.6541606158865305</c:v>
                </c:pt>
              </c:numCache>
            </c:numRef>
          </c:val>
          <c:extLst>
            <c:ext xmlns:c16="http://schemas.microsoft.com/office/drawing/2014/chart" uri="{C3380CC4-5D6E-409C-BE32-E72D297353CC}">
              <c16:uniqueId val="{00000001-08E8-40C4-AEAD-B46A50E7643E}"/>
            </c:ext>
          </c:extLst>
        </c:ser>
        <c:ser>
          <c:idx val="2"/>
          <c:order val="2"/>
          <c:tx>
            <c:strRef>
              <c:f>'Ratio analysis'!$A$18</c:f>
              <c:strCache>
                <c:ptCount val="1"/>
                <c:pt idx="0">
                  <c:v>Cash Ratio</c:v>
                </c:pt>
              </c:strCache>
            </c:strRef>
          </c:tx>
          <c:spPr>
            <a:solidFill>
              <a:schemeClr val="accent4"/>
            </a:solidFill>
            <a:ln>
              <a:noFill/>
            </a:ln>
            <a:effectLst/>
          </c:spPr>
          <c:invertIfNegative val="0"/>
          <c:cat>
            <c:strRef>
              <c:f>'Ratio analysis'!$C$15:$H$15</c:f>
              <c:strCache>
                <c:ptCount val="6"/>
                <c:pt idx="0">
                  <c:v>FY26</c:v>
                </c:pt>
                <c:pt idx="1">
                  <c:v>FY25</c:v>
                </c:pt>
                <c:pt idx="2">
                  <c:v>FY24</c:v>
                </c:pt>
                <c:pt idx="3">
                  <c:v>FY23</c:v>
                </c:pt>
                <c:pt idx="4">
                  <c:v>FY22</c:v>
                </c:pt>
                <c:pt idx="5">
                  <c:v>FY21</c:v>
                </c:pt>
              </c:strCache>
            </c:strRef>
          </c:cat>
          <c:val>
            <c:numRef>
              <c:f>'Ratio analysis'!$C$18:$H$18</c:f>
              <c:numCache>
                <c:formatCode>0.00</c:formatCode>
                <c:ptCount val="6"/>
                <c:pt idx="0">
                  <c:v>0.10534524083133598</c:v>
                </c:pt>
                <c:pt idx="1">
                  <c:v>0.15739325673100507</c:v>
                </c:pt>
                <c:pt idx="2">
                  <c:v>6.7292000932516013E-2</c:v>
                </c:pt>
                <c:pt idx="3">
                  <c:v>2.3593964334705075E-2</c:v>
                </c:pt>
                <c:pt idx="4">
                  <c:v>0.14164261892830607</c:v>
                </c:pt>
                <c:pt idx="5">
                  <c:v>2.212098907875629E-2</c:v>
                </c:pt>
              </c:numCache>
            </c:numRef>
          </c:val>
          <c:extLst>
            <c:ext xmlns:c16="http://schemas.microsoft.com/office/drawing/2014/chart" uri="{C3380CC4-5D6E-409C-BE32-E72D297353CC}">
              <c16:uniqueId val="{00000002-08E8-40C4-AEAD-B46A50E7643E}"/>
            </c:ext>
          </c:extLst>
        </c:ser>
        <c:dLbls>
          <c:showLegendKey val="0"/>
          <c:showVal val="0"/>
          <c:showCatName val="0"/>
          <c:showSerName val="0"/>
          <c:showPercent val="0"/>
          <c:showBubbleSize val="0"/>
        </c:dLbls>
        <c:gapWidth val="219"/>
        <c:overlap val="-27"/>
        <c:axId val="1655272479"/>
        <c:axId val="1655265759"/>
        <c:extLst>
          <c:ext xmlns:c15="http://schemas.microsoft.com/office/drawing/2012/chart" uri="{02D57815-91ED-43cb-92C2-25804820EDAC}">
            <c15:filteredBarSeries>
              <c15:ser>
                <c:idx val="3"/>
                <c:order val="3"/>
                <c:tx>
                  <c:strRef>
                    <c:extLst>
                      <c:ext uri="{02D57815-91ED-43cb-92C2-25804820EDAC}">
                        <c15:formulaRef>
                          <c15:sqref>'Ratio analysis'!$A$19</c15:sqref>
                        </c15:formulaRef>
                      </c:ext>
                    </c:extLst>
                    <c:strCache>
                      <c:ptCount val="1"/>
                      <c:pt idx="0">
                        <c:v>Working Capital</c:v>
                      </c:pt>
                    </c:strCache>
                  </c:strRef>
                </c:tx>
                <c:spPr>
                  <a:solidFill>
                    <a:schemeClr val="accent6">
                      <a:lumMod val="60000"/>
                    </a:schemeClr>
                  </a:solidFill>
                  <a:ln>
                    <a:noFill/>
                  </a:ln>
                  <a:effectLst/>
                </c:spPr>
                <c:invertIfNegative val="0"/>
                <c:cat>
                  <c:strRef>
                    <c:extLst>
                      <c:ext uri="{02D57815-91ED-43cb-92C2-25804820EDAC}">
                        <c15:formulaRef>
                          <c15:sqref>'Ratio analysis'!$C$15:$H$15</c15:sqref>
                        </c15:formulaRef>
                      </c:ext>
                    </c:extLst>
                    <c:strCache>
                      <c:ptCount val="6"/>
                      <c:pt idx="0">
                        <c:v>FY26</c:v>
                      </c:pt>
                      <c:pt idx="1">
                        <c:v>FY25</c:v>
                      </c:pt>
                      <c:pt idx="2">
                        <c:v>FY24</c:v>
                      </c:pt>
                      <c:pt idx="3">
                        <c:v>FY23</c:v>
                      </c:pt>
                      <c:pt idx="4">
                        <c:v>FY22</c:v>
                      </c:pt>
                      <c:pt idx="5">
                        <c:v>FY21</c:v>
                      </c:pt>
                    </c:strCache>
                  </c:strRef>
                </c:cat>
                <c:val>
                  <c:numRef>
                    <c:extLst>
                      <c:ext uri="{02D57815-91ED-43cb-92C2-25804820EDAC}">
                        <c15:formulaRef>
                          <c15:sqref>'Ratio analysis'!$C$19:$H$19</c15:sqref>
                        </c15:formulaRef>
                      </c:ext>
                    </c:extLst>
                    <c:numCache>
                      <c:formatCode>"₹"\ #,##0.00</c:formatCode>
                      <c:ptCount val="6"/>
                      <c:pt idx="0">
                        <c:v>74791</c:v>
                      </c:pt>
                      <c:pt idx="1">
                        <c:v>70010</c:v>
                      </c:pt>
                      <c:pt idx="2">
                        <c:v>40689</c:v>
                      </c:pt>
                      <c:pt idx="3">
                        <c:v>30819</c:v>
                      </c:pt>
                      <c:pt idx="4">
                        <c:v>36321</c:v>
                      </c:pt>
                      <c:pt idx="5">
                        <c:v>32891</c:v>
                      </c:pt>
                    </c:numCache>
                  </c:numRef>
                </c:val>
                <c:extLst>
                  <c:ext xmlns:c16="http://schemas.microsoft.com/office/drawing/2014/chart" uri="{C3380CC4-5D6E-409C-BE32-E72D297353CC}">
                    <c16:uniqueId val="{00000003-08E8-40C4-AEAD-B46A50E7643E}"/>
                  </c:ext>
                </c:extLst>
              </c15:ser>
            </c15:filteredBarSeries>
          </c:ext>
        </c:extLst>
      </c:barChart>
      <c:lineChart>
        <c:grouping val="standard"/>
        <c:varyColors val="0"/>
        <c:dLbls>
          <c:showLegendKey val="0"/>
          <c:showVal val="0"/>
          <c:showCatName val="0"/>
          <c:showSerName val="0"/>
          <c:showPercent val="0"/>
          <c:showBubbleSize val="0"/>
        </c:dLbls>
        <c:marker val="1"/>
        <c:smooth val="0"/>
        <c:axId val="1655271999"/>
        <c:axId val="1655263359"/>
        <c:extLst>
          <c:ext xmlns:c15="http://schemas.microsoft.com/office/drawing/2012/chart" uri="{02D57815-91ED-43cb-92C2-25804820EDAC}">
            <c15:filteredLineSeries>
              <c15:ser>
                <c:idx val="4"/>
                <c:order val="4"/>
                <c:tx>
                  <c:strRef>
                    <c:extLst>
                      <c:ext uri="{02D57815-91ED-43cb-92C2-25804820EDAC}">
                        <c15:formulaRef>
                          <c15:sqref>'Ratio analysis'!$A$20</c15:sqref>
                        </c15:formulaRef>
                      </c:ext>
                    </c:extLst>
                    <c:strCache>
                      <c:ptCount val="1"/>
                      <c:pt idx="0">
                        <c:v>Working Capital Ratio</c:v>
                      </c:pt>
                    </c:strCache>
                  </c:strRef>
                </c:tx>
                <c:spPr>
                  <a:ln w="28575" cap="rnd">
                    <a:solidFill>
                      <a:schemeClr val="accent5">
                        <a:lumMod val="60000"/>
                      </a:schemeClr>
                    </a:solidFill>
                    <a:round/>
                  </a:ln>
                  <a:effectLst/>
                </c:spPr>
                <c:marker>
                  <c:symbol val="none"/>
                </c:marker>
                <c:cat>
                  <c:strRef>
                    <c:extLst>
                      <c:ext uri="{02D57815-91ED-43cb-92C2-25804820EDAC}">
                        <c15:formulaRef>
                          <c15:sqref>'Ratio analysis'!$C$15:$H$15</c15:sqref>
                        </c15:formulaRef>
                      </c:ext>
                    </c:extLst>
                    <c:strCache>
                      <c:ptCount val="6"/>
                      <c:pt idx="0">
                        <c:v>FY26</c:v>
                      </c:pt>
                      <c:pt idx="1">
                        <c:v>FY25</c:v>
                      </c:pt>
                      <c:pt idx="2">
                        <c:v>FY24</c:v>
                      </c:pt>
                      <c:pt idx="3">
                        <c:v>FY23</c:v>
                      </c:pt>
                      <c:pt idx="4">
                        <c:v>FY22</c:v>
                      </c:pt>
                      <c:pt idx="5">
                        <c:v>FY21</c:v>
                      </c:pt>
                    </c:strCache>
                  </c:strRef>
                </c:cat>
                <c:val>
                  <c:numRef>
                    <c:extLst>
                      <c:ext uri="{02D57815-91ED-43cb-92C2-25804820EDAC}">
                        <c15:formulaRef>
                          <c15:sqref>'Ratio analysis'!$C$20:$H$20</c15:sqref>
                        </c15:formulaRef>
                      </c:ext>
                    </c:extLst>
                    <c:numCache>
                      <c:formatCode>0.00%</c:formatCode>
                      <c:ptCount val="6"/>
                      <c:pt idx="0">
                        <c:v>0.28009407499784661</c:v>
                      </c:pt>
                      <c:pt idx="1">
                        <c:v>0.27420062352148644</c:v>
                      </c:pt>
                      <c:pt idx="2">
                        <c:v>0.1689090176966537</c:v>
                      </c:pt>
                      <c:pt idx="3">
                        <c:v>0.13669508289792334</c:v>
                      </c:pt>
                      <c:pt idx="4">
                        <c:v>0.18941456240808535</c:v>
                      </c:pt>
                      <c:pt idx="5">
                        <c:v>0.20033865888644573</c:v>
                      </c:pt>
                    </c:numCache>
                  </c:numRef>
                </c:val>
                <c:smooth val="0"/>
                <c:extLst>
                  <c:ext xmlns:c16="http://schemas.microsoft.com/office/drawing/2014/chart" uri="{C3380CC4-5D6E-409C-BE32-E72D297353CC}">
                    <c16:uniqueId val="{00000004-08E8-40C4-AEAD-B46A50E7643E}"/>
                  </c:ext>
                </c:extLst>
              </c15:ser>
            </c15:filteredLineSeries>
          </c:ext>
        </c:extLst>
      </c:lineChart>
      <c:catAx>
        <c:axId val="165527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5265759"/>
        <c:crosses val="autoZero"/>
        <c:auto val="1"/>
        <c:lblAlgn val="ctr"/>
        <c:lblOffset val="100"/>
        <c:noMultiLvlLbl val="0"/>
      </c:catAx>
      <c:valAx>
        <c:axId val="1655265759"/>
        <c:scaling>
          <c:orientation val="minMax"/>
        </c:scaling>
        <c:delete val="1"/>
        <c:axPos val="l"/>
        <c:numFmt formatCode="0.00" sourceLinked="1"/>
        <c:majorTickMark val="none"/>
        <c:minorTickMark val="none"/>
        <c:tickLblPos val="nextTo"/>
        <c:crossAx val="1655272479"/>
        <c:crosses val="autoZero"/>
        <c:crossBetween val="between"/>
      </c:valAx>
      <c:valAx>
        <c:axId val="1655263359"/>
        <c:scaling>
          <c:orientation val="minMax"/>
        </c:scaling>
        <c:delete val="1"/>
        <c:axPos val="r"/>
        <c:numFmt formatCode="0.00" sourceLinked="1"/>
        <c:majorTickMark val="none"/>
        <c:minorTickMark val="none"/>
        <c:tickLblPos val="nextTo"/>
        <c:crossAx val="1655271999"/>
        <c:crosses val="max"/>
        <c:crossBetween val="between"/>
      </c:valAx>
      <c:catAx>
        <c:axId val="1655271999"/>
        <c:scaling>
          <c:orientation val="minMax"/>
        </c:scaling>
        <c:delete val="1"/>
        <c:axPos val="b"/>
        <c:numFmt formatCode="General" sourceLinked="1"/>
        <c:majorTickMark val="none"/>
        <c:minorTickMark val="none"/>
        <c:tickLblPos val="nextTo"/>
        <c:crossAx val="16552633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[TCS_Finanacial_Analysis.xlsx]Pivot tables!PivotTable11</c:name>
    <c:fmtId val="7"/>
  </c:pivotSource>
  <c:chart>
    <c:autoTitleDeleted val="1"/>
    <c:pivotFmts>
      <c:pivotFmt>
        <c:idx val="0"/>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tables'!$B$40:$B$41</c:f>
              <c:strCache>
                <c:ptCount val="1"/>
                <c:pt idx="0">
                  <c:v>ROA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tables'!$A$42:$A$47</c:f>
              <c:strCache>
                <c:ptCount val="6"/>
                <c:pt idx="0">
                  <c:v>2026</c:v>
                </c:pt>
                <c:pt idx="1">
                  <c:v>2025</c:v>
                </c:pt>
                <c:pt idx="2">
                  <c:v>2024</c:v>
                </c:pt>
                <c:pt idx="3">
                  <c:v>2023</c:v>
                </c:pt>
                <c:pt idx="4">
                  <c:v>2022</c:v>
                </c:pt>
                <c:pt idx="5">
                  <c:v>2021</c:v>
                </c:pt>
              </c:strCache>
            </c:strRef>
          </c:cat>
          <c:val>
            <c:numRef>
              <c:f>'Pivot tables'!$B$42:$B$47</c:f>
              <c:numCache>
                <c:formatCode>0.000</c:formatCode>
                <c:ptCount val="6"/>
                <c:pt idx="0">
                  <c:v>0.30888798570764414</c:v>
                </c:pt>
                <c:pt idx="1">
                  <c:v>0.29092205508303198</c:v>
                </c:pt>
                <c:pt idx="2">
                  <c:v>0.28504732942133892</c:v>
                </c:pt>
                <c:pt idx="3">
                  <c:v>0.27881730708802061</c:v>
                </c:pt>
                <c:pt idx="4">
                  <c:v>0.27606946575332597</c:v>
                </c:pt>
                <c:pt idx="5">
                  <c:v>0.26077244503456087</c:v>
                </c:pt>
              </c:numCache>
            </c:numRef>
          </c:val>
          <c:smooth val="0"/>
          <c:extLst>
            <c:ext xmlns:c16="http://schemas.microsoft.com/office/drawing/2014/chart" uri="{C3380CC4-5D6E-409C-BE32-E72D297353CC}">
              <c16:uniqueId val="{00000000-DA83-4B20-9D42-9983370057F6}"/>
            </c:ext>
          </c:extLst>
        </c:ser>
        <c:ser>
          <c:idx val="1"/>
          <c:order val="1"/>
          <c:tx>
            <c:strRef>
              <c:f>'Pivot tables'!$C$40:$C$41</c:f>
              <c:strCache>
                <c:ptCount val="1"/>
                <c:pt idx="0">
                  <c:v>ROCE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tables'!$A$42:$A$47</c:f>
              <c:strCache>
                <c:ptCount val="6"/>
                <c:pt idx="0">
                  <c:v>2026</c:v>
                </c:pt>
                <c:pt idx="1">
                  <c:v>2025</c:v>
                </c:pt>
                <c:pt idx="2">
                  <c:v>2024</c:v>
                </c:pt>
                <c:pt idx="3">
                  <c:v>2023</c:v>
                </c:pt>
                <c:pt idx="4">
                  <c:v>2022</c:v>
                </c:pt>
                <c:pt idx="5">
                  <c:v>2021</c:v>
                </c:pt>
              </c:strCache>
            </c:strRef>
          </c:cat>
          <c:val>
            <c:numRef>
              <c:f>'Pivot tables'!$C$42:$C$47</c:f>
              <c:numCache>
                <c:formatCode>0.000</c:formatCode>
                <c:ptCount val="6"/>
                <c:pt idx="0">
                  <c:v>0.58607718141402809</c:v>
                </c:pt>
                <c:pt idx="1">
                  <c:v>0.59812859307723765</c:v>
                </c:pt>
                <c:pt idx="2">
                  <c:v>0.6179130289833934</c:v>
                </c:pt>
                <c:pt idx="3">
                  <c:v>0.59440739543319943</c:v>
                </c:pt>
                <c:pt idx="4">
                  <c:v>0.57164261865716548</c:v>
                </c:pt>
                <c:pt idx="5">
                  <c:v>1.0925340122932901</c:v>
                </c:pt>
              </c:numCache>
            </c:numRef>
          </c:val>
          <c:smooth val="0"/>
          <c:extLst>
            <c:ext xmlns:c16="http://schemas.microsoft.com/office/drawing/2014/chart" uri="{C3380CC4-5D6E-409C-BE32-E72D297353CC}">
              <c16:uniqueId val="{00000001-DA83-4B20-9D42-9983370057F6}"/>
            </c:ext>
          </c:extLst>
        </c:ser>
        <c:ser>
          <c:idx val="2"/>
          <c:order val="2"/>
          <c:tx>
            <c:strRef>
              <c:f>'Pivot tables'!$D$40:$D$41</c:f>
              <c:strCache>
                <c:ptCount val="1"/>
                <c:pt idx="0">
                  <c:v>ROE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tables'!$A$42:$A$47</c:f>
              <c:strCache>
                <c:ptCount val="6"/>
                <c:pt idx="0">
                  <c:v>2026</c:v>
                </c:pt>
                <c:pt idx="1">
                  <c:v>2025</c:v>
                </c:pt>
                <c:pt idx="2">
                  <c:v>2024</c:v>
                </c:pt>
                <c:pt idx="3">
                  <c:v>2023</c:v>
                </c:pt>
                <c:pt idx="4">
                  <c:v>2022</c:v>
                </c:pt>
                <c:pt idx="5">
                  <c:v>2021</c:v>
                </c:pt>
              </c:strCache>
            </c:strRef>
          </c:cat>
          <c:val>
            <c:numRef>
              <c:f>'Pivot tables'!$D$42:$D$47</c:f>
              <c:numCache>
                <c:formatCode>0.000</c:formatCode>
                <c:ptCount val="6"/>
                <c:pt idx="0">
                  <c:v>0.51721183457446551</c:v>
                </c:pt>
                <c:pt idx="1">
                  <c:v>0.38429361225547815</c:v>
                </c:pt>
                <c:pt idx="2">
                  <c:v>0.31719822420742999</c:v>
                </c:pt>
                <c:pt idx="3">
                  <c:v>0.31840656953882535</c:v>
                </c:pt>
                <c:pt idx="4">
                  <c:v>0.31534344518905222</c:v>
                </c:pt>
                <c:pt idx="5">
                  <c:v>0.28993712876445865</c:v>
                </c:pt>
              </c:numCache>
            </c:numRef>
          </c:val>
          <c:smooth val="0"/>
          <c:extLst>
            <c:ext xmlns:c16="http://schemas.microsoft.com/office/drawing/2014/chart" uri="{C3380CC4-5D6E-409C-BE32-E72D297353CC}">
              <c16:uniqueId val="{00000002-DA83-4B20-9D42-9983370057F6}"/>
            </c:ext>
          </c:extLst>
        </c:ser>
        <c:dLbls>
          <c:showLegendKey val="0"/>
          <c:showVal val="0"/>
          <c:showCatName val="0"/>
          <c:showSerName val="0"/>
          <c:showPercent val="0"/>
          <c:showBubbleSize val="0"/>
        </c:dLbls>
        <c:marker val="1"/>
        <c:smooth val="0"/>
        <c:axId val="1655274399"/>
        <c:axId val="1655269599"/>
      </c:lineChart>
      <c:catAx>
        <c:axId val="165527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5269599"/>
        <c:crosses val="autoZero"/>
        <c:auto val="1"/>
        <c:lblAlgn val="ctr"/>
        <c:lblOffset val="100"/>
        <c:noMultiLvlLbl val="0"/>
      </c:catAx>
      <c:valAx>
        <c:axId val="1655269599"/>
        <c:scaling>
          <c:orientation val="minMax"/>
        </c:scaling>
        <c:delete val="1"/>
        <c:axPos val="l"/>
        <c:numFmt formatCode="0.000" sourceLinked="1"/>
        <c:majorTickMark val="none"/>
        <c:minorTickMark val="none"/>
        <c:tickLblPos val="nextTo"/>
        <c:crossAx val="1655274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[TCS_Finanacial_Analysis.xlsx]Pivot tables!PivotTable12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tables'!$B$49</c:f>
              <c:strCache>
                <c:ptCount val="1"/>
                <c:pt idx="0">
                  <c:v>2026</c:v>
                </c:pt>
              </c:strCache>
            </c:strRef>
          </c:tx>
          <c:spPr>
            <a:solidFill>
              <a:schemeClr val="accent1"/>
            </a:solidFill>
            <a:ln>
              <a:noFill/>
            </a:ln>
            <a:effectLst/>
          </c:spPr>
          <c:invertIfNegative val="0"/>
          <c:cat>
            <c:strRef>
              <c:f>'Pivot tables'!$A$50:$A$52</c:f>
              <c:strCache>
                <c:ptCount val="2"/>
                <c:pt idx="0">
                  <c:v>Cash Conversion Cycle</c:v>
                </c:pt>
                <c:pt idx="1">
                  <c:v>Receivable Days</c:v>
                </c:pt>
              </c:strCache>
            </c:strRef>
          </c:cat>
          <c:val>
            <c:numRef>
              <c:f>'Pivot tables'!$B$50:$B$52</c:f>
              <c:numCache>
                <c:formatCode>0.000</c:formatCode>
                <c:ptCount val="2"/>
                <c:pt idx="0">
                  <c:v>-28.880919709829627</c:v>
                </c:pt>
                <c:pt idx="1">
                  <c:v>86.636257073413702</c:v>
                </c:pt>
              </c:numCache>
            </c:numRef>
          </c:val>
          <c:extLst>
            <c:ext xmlns:c16="http://schemas.microsoft.com/office/drawing/2014/chart" uri="{C3380CC4-5D6E-409C-BE32-E72D297353CC}">
              <c16:uniqueId val="{00000000-7ACC-4F1E-9C97-49B931955E3E}"/>
            </c:ext>
          </c:extLst>
        </c:ser>
        <c:ser>
          <c:idx val="1"/>
          <c:order val="1"/>
          <c:tx>
            <c:strRef>
              <c:f>'Pivot tables'!$C$49</c:f>
              <c:strCache>
                <c:ptCount val="1"/>
                <c:pt idx="0">
                  <c:v>2025</c:v>
                </c:pt>
              </c:strCache>
            </c:strRef>
          </c:tx>
          <c:spPr>
            <a:solidFill>
              <a:schemeClr val="accent2"/>
            </a:solidFill>
            <a:ln>
              <a:noFill/>
            </a:ln>
            <a:effectLst/>
          </c:spPr>
          <c:invertIfNegative val="0"/>
          <c:cat>
            <c:strRef>
              <c:f>'Pivot tables'!$A$50:$A$52</c:f>
              <c:strCache>
                <c:ptCount val="2"/>
                <c:pt idx="0">
                  <c:v>Cash Conversion Cycle</c:v>
                </c:pt>
                <c:pt idx="1">
                  <c:v>Receivable Days</c:v>
                </c:pt>
              </c:strCache>
            </c:strRef>
          </c:cat>
          <c:val>
            <c:numRef>
              <c:f>'Pivot tables'!$C$50:$C$52</c:f>
              <c:numCache>
                <c:formatCode>0.000</c:formatCode>
                <c:ptCount val="2"/>
                <c:pt idx="0">
                  <c:v>-23.691214526387398</c:v>
                </c:pt>
                <c:pt idx="1">
                  <c:v>73.760095016528027</c:v>
                </c:pt>
              </c:numCache>
            </c:numRef>
          </c:val>
          <c:extLst>
            <c:ext xmlns:c16="http://schemas.microsoft.com/office/drawing/2014/chart" uri="{C3380CC4-5D6E-409C-BE32-E72D297353CC}">
              <c16:uniqueId val="{00000001-7ACC-4F1E-9C97-49B931955E3E}"/>
            </c:ext>
          </c:extLst>
        </c:ser>
        <c:ser>
          <c:idx val="2"/>
          <c:order val="2"/>
          <c:tx>
            <c:strRef>
              <c:f>'Pivot tables'!$D$49</c:f>
              <c:strCache>
                <c:ptCount val="1"/>
                <c:pt idx="0">
                  <c:v>2024</c:v>
                </c:pt>
              </c:strCache>
            </c:strRef>
          </c:tx>
          <c:spPr>
            <a:solidFill>
              <a:schemeClr val="accent3"/>
            </a:solidFill>
            <a:ln>
              <a:noFill/>
            </a:ln>
            <a:effectLst/>
          </c:spPr>
          <c:invertIfNegative val="0"/>
          <c:cat>
            <c:strRef>
              <c:f>'Pivot tables'!$A$50:$A$52</c:f>
              <c:strCache>
                <c:ptCount val="2"/>
                <c:pt idx="0">
                  <c:v>Cash Conversion Cycle</c:v>
                </c:pt>
                <c:pt idx="1">
                  <c:v>Receivable Days</c:v>
                </c:pt>
              </c:strCache>
            </c:strRef>
          </c:cat>
          <c:val>
            <c:numRef>
              <c:f>'Pivot tables'!$D$50:$D$52</c:f>
              <c:numCache>
                <c:formatCode>0.000</c:formatCode>
                <c:ptCount val="2"/>
                <c:pt idx="0">
                  <c:v>-21.458934922943172</c:v>
                </c:pt>
                <c:pt idx="1">
                  <c:v>65.869338253913554</c:v>
                </c:pt>
              </c:numCache>
            </c:numRef>
          </c:val>
          <c:extLst>
            <c:ext xmlns:c16="http://schemas.microsoft.com/office/drawing/2014/chart" uri="{C3380CC4-5D6E-409C-BE32-E72D297353CC}">
              <c16:uniqueId val="{00000002-7ACC-4F1E-9C97-49B931955E3E}"/>
            </c:ext>
          </c:extLst>
        </c:ser>
        <c:ser>
          <c:idx val="3"/>
          <c:order val="3"/>
          <c:tx>
            <c:strRef>
              <c:f>'Pivot tables'!$E$49</c:f>
              <c:strCache>
                <c:ptCount val="1"/>
                <c:pt idx="0">
                  <c:v>2023</c:v>
                </c:pt>
              </c:strCache>
            </c:strRef>
          </c:tx>
          <c:spPr>
            <a:solidFill>
              <a:schemeClr val="accent4"/>
            </a:solidFill>
            <a:ln>
              <a:noFill/>
            </a:ln>
            <a:effectLst/>
          </c:spPr>
          <c:invertIfNegative val="0"/>
          <c:cat>
            <c:strRef>
              <c:f>'Pivot tables'!$A$50:$A$52</c:f>
              <c:strCache>
                <c:ptCount val="2"/>
                <c:pt idx="0">
                  <c:v>Cash Conversion Cycle</c:v>
                </c:pt>
                <c:pt idx="1">
                  <c:v>Receivable Days</c:v>
                </c:pt>
              </c:strCache>
            </c:strRef>
          </c:cat>
          <c:val>
            <c:numRef>
              <c:f>'Pivot tables'!$E$50:$E$52</c:f>
              <c:numCache>
                <c:formatCode>0.000</c:formatCode>
                <c:ptCount val="2"/>
                <c:pt idx="0">
                  <c:v>-20.181760271660167</c:v>
                </c:pt>
                <c:pt idx="1">
                  <c:v>63.866662526945149</c:v>
                </c:pt>
              </c:numCache>
            </c:numRef>
          </c:val>
          <c:extLst>
            <c:ext xmlns:c16="http://schemas.microsoft.com/office/drawing/2014/chart" uri="{C3380CC4-5D6E-409C-BE32-E72D297353CC}">
              <c16:uniqueId val="{00000003-7ACC-4F1E-9C97-49B931955E3E}"/>
            </c:ext>
          </c:extLst>
        </c:ser>
        <c:ser>
          <c:idx val="4"/>
          <c:order val="4"/>
          <c:tx>
            <c:strRef>
              <c:f>'Pivot tables'!$F$49</c:f>
              <c:strCache>
                <c:ptCount val="1"/>
                <c:pt idx="0">
                  <c:v>2022</c:v>
                </c:pt>
              </c:strCache>
            </c:strRef>
          </c:tx>
          <c:spPr>
            <a:solidFill>
              <a:schemeClr val="accent5"/>
            </a:solidFill>
            <a:ln>
              <a:noFill/>
            </a:ln>
            <a:effectLst/>
          </c:spPr>
          <c:invertIfNegative val="0"/>
          <c:cat>
            <c:strRef>
              <c:f>'Pivot tables'!$A$50:$A$52</c:f>
              <c:strCache>
                <c:ptCount val="2"/>
                <c:pt idx="0">
                  <c:v>Cash Conversion Cycle</c:v>
                </c:pt>
                <c:pt idx="1">
                  <c:v>Receivable Days</c:v>
                </c:pt>
              </c:strCache>
            </c:strRef>
          </c:cat>
          <c:val>
            <c:numRef>
              <c:f>'Pivot tables'!$F$50:$F$52</c:f>
              <c:numCache>
                <c:formatCode>0.000</c:formatCode>
                <c:ptCount val="2"/>
                <c:pt idx="0">
                  <c:v>-21.438539510238641</c:v>
                </c:pt>
                <c:pt idx="1">
                  <c:v>63.502964736068087</c:v>
                </c:pt>
              </c:numCache>
            </c:numRef>
          </c:val>
          <c:extLst>
            <c:ext xmlns:c16="http://schemas.microsoft.com/office/drawing/2014/chart" uri="{C3380CC4-5D6E-409C-BE32-E72D297353CC}">
              <c16:uniqueId val="{00000004-7ACC-4F1E-9C97-49B931955E3E}"/>
            </c:ext>
          </c:extLst>
        </c:ser>
        <c:ser>
          <c:idx val="5"/>
          <c:order val="5"/>
          <c:tx>
            <c:strRef>
              <c:f>'Pivot tables'!$G$49</c:f>
              <c:strCache>
                <c:ptCount val="1"/>
                <c:pt idx="0">
                  <c:v>2021</c:v>
                </c:pt>
              </c:strCache>
            </c:strRef>
          </c:tx>
          <c:spPr>
            <a:solidFill>
              <a:schemeClr val="accent6"/>
            </a:solidFill>
            <a:ln>
              <a:noFill/>
            </a:ln>
            <a:effectLst/>
          </c:spPr>
          <c:invertIfNegative val="0"/>
          <c:cat>
            <c:strRef>
              <c:f>'Pivot tables'!$A$50:$A$52</c:f>
              <c:strCache>
                <c:ptCount val="2"/>
                <c:pt idx="0">
                  <c:v>Cash Conversion Cycle</c:v>
                </c:pt>
                <c:pt idx="1">
                  <c:v>Receivable Days</c:v>
                </c:pt>
              </c:strCache>
            </c:strRef>
          </c:cat>
          <c:val>
            <c:numRef>
              <c:f>'Pivot tables'!$G$50:$G$52</c:f>
              <c:numCache>
                <c:formatCode>0.000</c:formatCode>
                <c:ptCount val="2"/>
                <c:pt idx="0">
                  <c:v>-23.742939531543911</c:v>
                </c:pt>
                <c:pt idx="1">
                  <c:v>68.07692307692308</c:v>
                </c:pt>
              </c:numCache>
            </c:numRef>
          </c:val>
          <c:extLst>
            <c:ext xmlns:c16="http://schemas.microsoft.com/office/drawing/2014/chart" uri="{C3380CC4-5D6E-409C-BE32-E72D297353CC}">
              <c16:uniqueId val="{00000005-7ACC-4F1E-9C97-49B931955E3E}"/>
            </c:ext>
          </c:extLst>
        </c:ser>
        <c:dLbls>
          <c:showLegendKey val="0"/>
          <c:showVal val="0"/>
          <c:showCatName val="0"/>
          <c:showSerName val="0"/>
          <c:showPercent val="0"/>
          <c:showBubbleSize val="0"/>
        </c:dLbls>
        <c:gapWidth val="219"/>
        <c:overlap val="-27"/>
        <c:axId val="1805394287"/>
        <c:axId val="1805396207"/>
      </c:barChart>
      <c:catAx>
        <c:axId val="1805394287"/>
        <c:scaling>
          <c:orientation val="minMax"/>
        </c:scaling>
        <c:delete val="1"/>
        <c:axPos val="b"/>
        <c:numFmt formatCode="General" sourceLinked="1"/>
        <c:majorTickMark val="none"/>
        <c:minorTickMark val="none"/>
        <c:tickLblPos val="nextTo"/>
        <c:crossAx val="1805396207"/>
        <c:crosses val="autoZero"/>
        <c:auto val="1"/>
        <c:lblAlgn val="ctr"/>
        <c:lblOffset val="100"/>
        <c:noMultiLvlLbl val="0"/>
      </c:catAx>
      <c:valAx>
        <c:axId val="1805396207"/>
        <c:scaling>
          <c:orientation val="minMax"/>
        </c:scaling>
        <c:delete val="1"/>
        <c:axPos val="l"/>
        <c:numFmt formatCode="0.000" sourceLinked="1"/>
        <c:majorTickMark val="none"/>
        <c:minorTickMark val="none"/>
        <c:tickLblPos val="nextTo"/>
        <c:crossAx val="1805394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8100" cap="flat" cmpd="sng" algn="ctr">
      <a:solidFill>
        <a:srgbClr val="00206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[TCS_Finanacial_Analysis.xlsx]Pivot tables!PivotTable10</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2021</c:v>
                </c:pt>
              </c:strCache>
            </c:strRef>
          </c:tx>
          <c:spPr>
            <a:solidFill>
              <a:schemeClr val="accent1"/>
            </a:solidFill>
            <a:ln>
              <a:noFill/>
            </a:ln>
            <a:effectLst/>
          </c:spPr>
          <c:invertIfNegative val="0"/>
          <c:cat>
            <c:strRef>
              <c:f>'Pivot tables'!$A$35:$A$37</c:f>
              <c:strCache>
                <c:ptCount val="2"/>
                <c:pt idx="0">
                  <c:v>Debt Ratio</c:v>
                </c:pt>
                <c:pt idx="1">
                  <c:v>Equity Ratio</c:v>
                </c:pt>
              </c:strCache>
            </c:strRef>
          </c:cat>
          <c:val>
            <c:numRef>
              <c:f>'Pivot tables'!$B$35:$B$37</c:f>
              <c:numCache>
                <c:formatCode>0.00</c:formatCode>
                <c:ptCount val="2"/>
                <c:pt idx="0">
                  <c:v>0.43643534970906395</c:v>
                </c:pt>
                <c:pt idx="1">
                  <c:v>0.89941031749131095</c:v>
                </c:pt>
              </c:numCache>
            </c:numRef>
          </c:val>
          <c:extLst>
            <c:ext xmlns:c16="http://schemas.microsoft.com/office/drawing/2014/chart" uri="{C3380CC4-5D6E-409C-BE32-E72D297353CC}">
              <c16:uniqueId val="{00000000-04EE-46E5-99B2-EB4917822AD5}"/>
            </c:ext>
          </c:extLst>
        </c:ser>
        <c:ser>
          <c:idx val="1"/>
          <c:order val="1"/>
          <c:tx>
            <c:strRef>
              <c:f>'Pivot tables'!$C$34</c:f>
              <c:strCache>
                <c:ptCount val="1"/>
                <c:pt idx="0">
                  <c:v>2022</c:v>
                </c:pt>
              </c:strCache>
            </c:strRef>
          </c:tx>
          <c:spPr>
            <a:solidFill>
              <a:schemeClr val="accent2"/>
            </a:solidFill>
            <a:ln>
              <a:noFill/>
            </a:ln>
            <a:effectLst/>
          </c:spPr>
          <c:invertIfNegative val="0"/>
          <c:cat>
            <c:strRef>
              <c:f>'Pivot tables'!$A$35:$A$37</c:f>
              <c:strCache>
                <c:ptCount val="2"/>
                <c:pt idx="0">
                  <c:v>Debt Ratio</c:v>
                </c:pt>
                <c:pt idx="1">
                  <c:v>Equity Ratio</c:v>
                </c:pt>
              </c:strCache>
            </c:strRef>
          </c:cat>
          <c:val>
            <c:numRef>
              <c:f>'Pivot tables'!$C$35:$C$37</c:f>
              <c:numCache>
                <c:formatCode>0.00</c:formatCode>
                <c:ptCount val="2"/>
                <c:pt idx="0">
                  <c:v>0.42573867015979738</c:v>
                </c:pt>
                <c:pt idx="1">
                  <c:v>0.85495933220608578</c:v>
                </c:pt>
              </c:numCache>
            </c:numRef>
          </c:val>
          <c:extLst>
            <c:ext xmlns:c16="http://schemas.microsoft.com/office/drawing/2014/chart" uri="{C3380CC4-5D6E-409C-BE32-E72D297353CC}">
              <c16:uniqueId val="{00000001-04EE-46E5-99B2-EB4917822AD5}"/>
            </c:ext>
          </c:extLst>
        </c:ser>
        <c:ser>
          <c:idx val="2"/>
          <c:order val="2"/>
          <c:tx>
            <c:strRef>
              <c:f>'Pivot tables'!$D$34</c:f>
              <c:strCache>
                <c:ptCount val="1"/>
                <c:pt idx="0">
                  <c:v>2023</c:v>
                </c:pt>
              </c:strCache>
            </c:strRef>
          </c:tx>
          <c:spPr>
            <a:solidFill>
              <a:schemeClr val="accent3"/>
            </a:solidFill>
            <a:ln>
              <a:noFill/>
            </a:ln>
            <a:effectLst/>
          </c:spPr>
          <c:invertIfNegative val="0"/>
          <c:cat>
            <c:strRef>
              <c:f>'Pivot tables'!$A$35:$A$37</c:f>
              <c:strCache>
                <c:ptCount val="2"/>
                <c:pt idx="0">
                  <c:v>Debt Ratio</c:v>
                </c:pt>
                <c:pt idx="1">
                  <c:v>Equity Ratio</c:v>
                </c:pt>
              </c:strCache>
            </c:strRef>
          </c:cat>
          <c:val>
            <c:numRef>
              <c:f>'Pivot tables'!$D$35:$D$37</c:f>
              <c:numCache>
                <c:formatCode>0.00</c:formatCode>
                <c:ptCount val="2"/>
                <c:pt idx="0">
                  <c:v>0.4445841519318926</c:v>
                </c:pt>
                <c:pt idx="1">
                  <c:v>0.89595284872298619</c:v>
                </c:pt>
              </c:numCache>
            </c:numRef>
          </c:val>
          <c:extLst>
            <c:ext xmlns:c16="http://schemas.microsoft.com/office/drawing/2014/chart" uri="{C3380CC4-5D6E-409C-BE32-E72D297353CC}">
              <c16:uniqueId val="{00000002-04EE-46E5-99B2-EB4917822AD5}"/>
            </c:ext>
          </c:extLst>
        </c:ser>
        <c:ser>
          <c:idx val="3"/>
          <c:order val="3"/>
          <c:tx>
            <c:strRef>
              <c:f>'Pivot tables'!$E$34</c:f>
              <c:strCache>
                <c:ptCount val="1"/>
                <c:pt idx="0">
                  <c:v>2024</c:v>
                </c:pt>
              </c:strCache>
            </c:strRef>
          </c:tx>
          <c:spPr>
            <a:solidFill>
              <a:schemeClr val="accent4"/>
            </a:solidFill>
            <a:ln>
              <a:noFill/>
            </a:ln>
            <a:effectLst/>
          </c:spPr>
          <c:invertIfNegative val="0"/>
          <c:cat>
            <c:strRef>
              <c:f>'Pivot tables'!$A$35:$A$37</c:f>
              <c:strCache>
                <c:ptCount val="2"/>
                <c:pt idx="0">
                  <c:v>Debt Ratio</c:v>
                </c:pt>
                <c:pt idx="1">
                  <c:v>Equity Ratio</c:v>
                </c:pt>
              </c:strCache>
            </c:strRef>
          </c:cat>
          <c:val>
            <c:numRef>
              <c:f>'Pivot tables'!$E$35:$E$37</c:f>
              <c:numCache>
                <c:formatCode>0.00</c:formatCode>
                <c:ptCount val="2"/>
                <c:pt idx="0">
                  <c:v>0.45234786802788274</c:v>
                </c:pt>
                <c:pt idx="1">
                  <c:v>0.90099794439531922</c:v>
                </c:pt>
              </c:numCache>
            </c:numRef>
          </c:val>
          <c:extLst>
            <c:ext xmlns:c16="http://schemas.microsoft.com/office/drawing/2014/chart" uri="{C3380CC4-5D6E-409C-BE32-E72D297353CC}">
              <c16:uniqueId val="{00000003-04EE-46E5-99B2-EB4917822AD5}"/>
            </c:ext>
          </c:extLst>
        </c:ser>
        <c:ser>
          <c:idx val="4"/>
          <c:order val="4"/>
          <c:tx>
            <c:strRef>
              <c:f>'Pivot tables'!$F$34</c:f>
              <c:strCache>
                <c:ptCount val="1"/>
                <c:pt idx="0">
                  <c:v>2025</c:v>
                </c:pt>
              </c:strCache>
            </c:strRef>
          </c:tx>
          <c:spPr>
            <a:solidFill>
              <a:schemeClr val="accent5"/>
            </a:solidFill>
            <a:ln>
              <a:noFill/>
            </a:ln>
            <a:effectLst/>
          </c:spPr>
          <c:invertIfNegative val="0"/>
          <c:cat>
            <c:strRef>
              <c:f>'Pivot tables'!$A$35:$A$37</c:f>
              <c:strCache>
                <c:ptCount val="2"/>
                <c:pt idx="0">
                  <c:v>Debt Ratio</c:v>
                </c:pt>
                <c:pt idx="1">
                  <c:v>Equity Ratio</c:v>
                </c:pt>
              </c:strCache>
            </c:strRef>
          </c:cat>
          <c:val>
            <c:numRef>
              <c:f>'Pivot tables'!$F$35:$F$37</c:f>
              <c:numCache>
                <c:formatCode>0.00</c:formatCode>
                <c:ptCount val="2"/>
                <c:pt idx="0">
                  <c:v>0.40004009296556392</c:v>
                </c:pt>
                <c:pt idx="1">
                  <c:v>0.59995990703443614</c:v>
                </c:pt>
              </c:numCache>
            </c:numRef>
          </c:val>
          <c:extLst>
            <c:ext xmlns:c16="http://schemas.microsoft.com/office/drawing/2014/chart" uri="{C3380CC4-5D6E-409C-BE32-E72D297353CC}">
              <c16:uniqueId val="{00000004-04EE-46E5-99B2-EB4917822AD5}"/>
            </c:ext>
          </c:extLst>
        </c:ser>
        <c:ser>
          <c:idx val="5"/>
          <c:order val="5"/>
          <c:tx>
            <c:strRef>
              <c:f>'Pivot tables'!$G$34</c:f>
              <c:strCache>
                <c:ptCount val="1"/>
                <c:pt idx="0">
                  <c:v>2026</c:v>
                </c:pt>
              </c:strCache>
            </c:strRef>
          </c:tx>
          <c:spPr>
            <a:solidFill>
              <a:schemeClr val="accent6"/>
            </a:solidFill>
            <a:ln>
              <a:noFill/>
            </a:ln>
            <a:effectLst/>
          </c:spPr>
          <c:invertIfNegative val="0"/>
          <c:cat>
            <c:strRef>
              <c:f>'Pivot tables'!$A$35:$A$37</c:f>
              <c:strCache>
                <c:ptCount val="2"/>
                <c:pt idx="0">
                  <c:v>Debt Ratio</c:v>
                </c:pt>
                <c:pt idx="1">
                  <c:v>Equity Ratio</c:v>
                </c:pt>
              </c:strCache>
            </c:strRef>
          </c:cat>
          <c:val>
            <c:numRef>
              <c:f>'Pivot tables'!$G$35:$G$37</c:f>
              <c:numCache>
                <c:formatCode>0.00</c:formatCode>
                <c:ptCount val="2"/>
                <c:pt idx="0">
                  <c:v>0.40518281315114163</c:v>
                </c:pt>
                <c:pt idx="1">
                  <c:v>0.59481718684885843</c:v>
                </c:pt>
              </c:numCache>
            </c:numRef>
          </c:val>
          <c:extLst>
            <c:ext xmlns:c16="http://schemas.microsoft.com/office/drawing/2014/chart" uri="{C3380CC4-5D6E-409C-BE32-E72D297353CC}">
              <c16:uniqueId val="{00000005-04EE-46E5-99B2-EB4917822AD5}"/>
            </c:ext>
          </c:extLst>
        </c:ser>
        <c:dLbls>
          <c:showLegendKey val="0"/>
          <c:showVal val="0"/>
          <c:showCatName val="0"/>
          <c:showSerName val="0"/>
          <c:showPercent val="0"/>
          <c:showBubbleSize val="0"/>
        </c:dLbls>
        <c:gapWidth val="219"/>
        <c:overlap val="-27"/>
        <c:axId val="1805346287"/>
        <c:axId val="1805353487"/>
      </c:barChart>
      <c:catAx>
        <c:axId val="1805346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5353487"/>
        <c:crosses val="autoZero"/>
        <c:auto val="1"/>
        <c:lblAlgn val="ctr"/>
        <c:lblOffset val="100"/>
        <c:noMultiLvlLbl val="0"/>
      </c:catAx>
      <c:valAx>
        <c:axId val="1805353487"/>
        <c:scaling>
          <c:orientation val="minMax"/>
        </c:scaling>
        <c:delete val="1"/>
        <c:axPos val="l"/>
        <c:numFmt formatCode="0.00" sourceLinked="1"/>
        <c:majorTickMark val="out"/>
        <c:minorTickMark val="none"/>
        <c:tickLblPos val="nextTo"/>
        <c:crossAx val="1805346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32</xdr:col>
      <xdr:colOff>283723</xdr:colOff>
      <xdr:row>142</xdr:row>
      <xdr:rowOff>166772</xdr:rowOff>
    </xdr:to>
    <xdr:sp macro="" textlink="">
      <xdr:nvSpPr>
        <xdr:cNvPr id="6146" name="AutoShape 2">
          <a:extLst>
            <a:ext uri="{FF2B5EF4-FFF2-40B4-BE49-F238E27FC236}">
              <a16:creationId xmlns:a16="http://schemas.microsoft.com/office/drawing/2014/main" id="{1DD89D2E-ECEF-003C-23F4-102FF7912E4B}"/>
            </a:ext>
          </a:extLst>
        </xdr:cNvPr>
        <xdr:cNvSpPr>
          <a:spLocks noChangeAspect="1" noChangeArrowheads="1"/>
        </xdr:cNvSpPr>
      </xdr:nvSpPr>
      <xdr:spPr bwMode="auto">
        <a:xfrm>
          <a:off x="6832600" y="16275050"/>
          <a:ext cx="19507200" cy="1463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144</xdr:row>
      <xdr:rowOff>0</xdr:rowOff>
    </xdr:from>
    <xdr:to>
      <xdr:col>32</xdr:col>
      <xdr:colOff>283723</xdr:colOff>
      <xdr:row>213</xdr:row>
      <xdr:rowOff>171449</xdr:rowOff>
    </xdr:to>
    <xdr:sp macro="" textlink="">
      <xdr:nvSpPr>
        <xdr:cNvPr id="6147" name="AutoShape 3">
          <a:extLst>
            <a:ext uri="{FF2B5EF4-FFF2-40B4-BE49-F238E27FC236}">
              <a16:creationId xmlns:a16="http://schemas.microsoft.com/office/drawing/2014/main" id="{446C9399-FEC4-CC00-9F2B-EE8995649728}"/>
            </a:ext>
          </a:extLst>
        </xdr:cNvPr>
        <xdr:cNvSpPr>
          <a:spLocks noChangeAspect="1" noChangeArrowheads="1"/>
        </xdr:cNvSpPr>
      </xdr:nvSpPr>
      <xdr:spPr bwMode="auto">
        <a:xfrm>
          <a:off x="6832600" y="30981650"/>
          <a:ext cx="19507200" cy="1463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213</xdr:row>
      <xdr:rowOff>0</xdr:rowOff>
    </xdr:from>
    <xdr:to>
      <xdr:col>32</xdr:col>
      <xdr:colOff>283723</xdr:colOff>
      <xdr:row>282</xdr:row>
      <xdr:rowOff>171450</xdr:rowOff>
    </xdr:to>
    <xdr:sp macro="" textlink="">
      <xdr:nvSpPr>
        <xdr:cNvPr id="6148" name="AutoShape 4">
          <a:extLst>
            <a:ext uri="{FF2B5EF4-FFF2-40B4-BE49-F238E27FC236}">
              <a16:creationId xmlns:a16="http://schemas.microsoft.com/office/drawing/2014/main" id="{26D0FD77-164A-6E57-238A-E864EE0A7611}"/>
            </a:ext>
          </a:extLst>
        </xdr:cNvPr>
        <xdr:cNvSpPr>
          <a:spLocks noChangeAspect="1" noChangeArrowheads="1"/>
        </xdr:cNvSpPr>
      </xdr:nvSpPr>
      <xdr:spPr bwMode="auto">
        <a:xfrm>
          <a:off x="6832600" y="45440600"/>
          <a:ext cx="19507200" cy="1463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282</xdr:row>
      <xdr:rowOff>0</xdr:rowOff>
    </xdr:from>
    <xdr:to>
      <xdr:col>32</xdr:col>
      <xdr:colOff>283723</xdr:colOff>
      <xdr:row>351</xdr:row>
      <xdr:rowOff>171452</xdr:rowOff>
    </xdr:to>
    <xdr:sp macro="" textlink="">
      <xdr:nvSpPr>
        <xdr:cNvPr id="6149" name="AutoShape 5">
          <a:extLst>
            <a:ext uri="{FF2B5EF4-FFF2-40B4-BE49-F238E27FC236}">
              <a16:creationId xmlns:a16="http://schemas.microsoft.com/office/drawing/2014/main" id="{1C37AFEB-44EA-9136-3490-BD921DAC758B}"/>
            </a:ext>
          </a:extLst>
        </xdr:cNvPr>
        <xdr:cNvSpPr>
          <a:spLocks noChangeAspect="1" noChangeArrowheads="1"/>
        </xdr:cNvSpPr>
      </xdr:nvSpPr>
      <xdr:spPr bwMode="auto">
        <a:xfrm>
          <a:off x="6832600" y="59899550"/>
          <a:ext cx="19507200" cy="1463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351</xdr:row>
      <xdr:rowOff>0</xdr:rowOff>
    </xdr:from>
    <xdr:to>
      <xdr:col>32</xdr:col>
      <xdr:colOff>283723</xdr:colOff>
      <xdr:row>420</xdr:row>
      <xdr:rowOff>171450</xdr:rowOff>
    </xdr:to>
    <xdr:sp macro="" textlink="">
      <xdr:nvSpPr>
        <xdr:cNvPr id="6150" name="AutoShape 6">
          <a:extLst>
            <a:ext uri="{FF2B5EF4-FFF2-40B4-BE49-F238E27FC236}">
              <a16:creationId xmlns:a16="http://schemas.microsoft.com/office/drawing/2014/main" id="{8A25EDE1-E76E-EABB-E0F6-E3DE07B32F1F}"/>
            </a:ext>
          </a:extLst>
        </xdr:cNvPr>
        <xdr:cNvSpPr>
          <a:spLocks noChangeAspect="1" noChangeArrowheads="1"/>
        </xdr:cNvSpPr>
      </xdr:nvSpPr>
      <xdr:spPr bwMode="auto">
        <a:xfrm>
          <a:off x="6832600" y="74358500"/>
          <a:ext cx="19507200" cy="1463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420</xdr:row>
      <xdr:rowOff>0</xdr:rowOff>
    </xdr:from>
    <xdr:to>
      <xdr:col>32</xdr:col>
      <xdr:colOff>283723</xdr:colOff>
      <xdr:row>489</xdr:row>
      <xdr:rowOff>171450</xdr:rowOff>
    </xdr:to>
    <xdr:sp macro="" textlink="">
      <xdr:nvSpPr>
        <xdr:cNvPr id="6151" name="AutoShape 7">
          <a:extLst>
            <a:ext uri="{FF2B5EF4-FFF2-40B4-BE49-F238E27FC236}">
              <a16:creationId xmlns:a16="http://schemas.microsoft.com/office/drawing/2014/main" id="{4BBF8C04-B8A3-266E-55B9-9BC97C95802B}"/>
            </a:ext>
          </a:extLst>
        </xdr:cNvPr>
        <xdr:cNvSpPr>
          <a:spLocks noChangeAspect="1" noChangeArrowheads="1"/>
        </xdr:cNvSpPr>
      </xdr:nvSpPr>
      <xdr:spPr bwMode="auto">
        <a:xfrm>
          <a:off x="6832600" y="88817450"/>
          <a:ext cx="19507200" cy="1463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489</xdr:row>
      <xdr:rowOff>0</xdr:rowOff>
    </xdr:from>
    <xdr:to>
      <xdr:col>32</xdr:col>
      <xdr:colOff>283723</xdr:colOff>
      <xdr:row>558</xdr:row>
      <xdr:rowOff>171450</xdr:rowOff>
    </xdr:to>
    <xdr:sp macro="" textlink="">
      <xdr:nvSpPr>
        <xdr:cNvPr id="6152" name="AutoShape 8">
          <a:extLst>
            <a:ext uri="{FF2B5EF4-FFF2-40B4-BE49-F238E27FC236}">
              <a16:creationId xmlns:a16="http://schemas.microsoft.com/office/drawing/2014/main" id="{45BCE7BE-D1BD-4BC4-0C74-EE753E622B5C}"/>
            </a:ext>
          </a:extLst>
        </xdr:cNvPr>
        <xdr:cNvSpPr>
          <a:spLocks noChangeAspect="1" noChangeArrowheads="1"/>
        </xdr:cNvSpPr>
      </xdr:nvSpPr>
      <xdr:spPr bwMode="auto">
        <a:xfrm>
          <a:off x="6832600" y="103276400"/>
          <a:ext cx="19507200" cy="1463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558</xdr:row>
      <xdr:rowOff>0</xdr:rowOff>
    </xdr:from>
    <xdr:to>
      <xdr:col>32</xdr:col>
      <xdr:colOff>283723</xdr:colOff>
      <xdr:row>627</xdr:row>
      <xdr:rowOff>171450</xdr:rowOff>
    </xdr:to>
    <xdr:sp macro="" textlink="">
      <xdr:nvSpPr>
        <xdr:cNvPr id="6153" name="AutoShape 9">
          <a:extLst>
            <a:ext uri="{FF2B5EF4-FFF2-40B4-BE49-F238E27FC236}">
              <a16:creationId xmlns:a16="http://schemas.microsoft.com/office/drawing/2014/main" id="{21195122-9E00-A430-5571-8DAE56D6834E}"/>
            </a:ext>
          </a:extLst>
        </xdr:cNvPr>
        <xdr:cNvSpPr>
          <a:spLocks noChangeAspect="1" noChangeArrowheads="1"/>
        </xdr:cNvSpPr>
      </xdr:nvSpPr>
      <xdr:spPr bwMode="auto">
        <a:xfrm>
          <a:off x="6832600" y="117735350"/>
          <a:ext cx="19507200" cy="1463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627</xdr:row>
      <xdr:rowOff>0</xdr:rowOff>
    </xdr:from>
    <xdr:to>
      <xdr:col>25</xdr:col>
      <xdr:colOff>107544</xdr:colOff>
      <xdr:row>659</xdr:row>
      <xdr:rowOff>50799</xdr:rowOff>
    </xdr:to>
    <xdr:sp macro="" textlink="">
      <xdr:nvSpPr>
        <xdr:cNvPr id="6154" name="AutoShape 10">
          <a:extLst>
            <a:ext uri="{FF2B5EF4-FFF2-40B4-BE49-F238E27FC236}">
              <a16:creationId xmlns:a16="http://schemas.microsoft.com/office/drawing/2014/main" id="{7533B340-3247-0A3F-AFEE-F19FE0AB82AF}"/>
            </a:ext>
          </a:extLst>
        </xdr:cNvPr>
        <xdr:cNvSpPr>
          <a:spLocks noChangeAspect="1" noChangeArrowheads="1"/>
        </xdr:cNvSpPr>
      </xdr:nvSpPr>
      <xdr:spPr bwMode="auto">
        <a:xfrm>
          <a:off x="6832600" y="132194300"/>
          <a:ext cx="15062200" cy="6756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660</xdr:row>
      <xdr:rowOff>0</xdr:rowOff>
    </xdr:from>
    <xdr:to>
      <xdr:col>30</xdr:col>
      <xdr:colOff>1005</xdr:colOff>
      <xdr:row>699</xdr:row>
      <xdr:rowOff>114300</xdr:rowOff>
    </xdr:to>
    <xdr:sp macro="" textlink="">
      <xdr:nvSpPr>
        <xdr:cNvPr id="6155" name="AutoShape 11">
          <a:extLst>
            <a:ext uri="{FF2B5EF4-FFF2-40B4-BE49-F238E27FC236}">
              <a16:creationId xmlns:a16="http://schemas.microsoft.com/office/drawing/2014/main" id="{1D7C16EA-3E23-1A12-BC92-54E0ACB1424C}"/>
            </a:ext>
          </a:extLst>
        </xdr:cNvPr>
        <xdr:cNvSpPr>
          <a:spLocks noChangeAspect="1" noChangeArrowheads="1"/>
        </xdr:cNvSpPr>
      </xdr:nvSpPr>
      <xdr:spPr bwMode="auto">
        <a:xfrm>
          <a:off x="6832600" y="139109450"/>
          <a:ext cx="18002250" cy="8286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699</xdr:row>
      <xdr:rowOff>0</xdr:rowOff>
    </xdr:from>
    <xdr:to>
      <xdr:col>29</xdr:col>
      <xdr:colOff>531373</xdr:colOff>
      <xdr:row>738</xdr:row>
      <xdr:rowOff>88899</xdr:rowOff>
    </xdr:to>
    <xdr:sp macro="" textlink="">
      <xdr:nvSpPr>
        <xdr:cNvPr id="6156" name="AutoShape 12">
          <a:extLst>
            <a:ext uri="{FF2B5EF4-FFF2-40B4-BE49-F238E27FC236}">
              <a16:creationId xmlns:a16="http://schemas.microsoft.com/office/drawing/2014/main" id="{36211DD3-E41D-B348-BAAA-304B328A615E}"/>
            </a:ext>
          </a:extLst>
        </xdr:cNvPr>
        <xdr:cNvSpPr>
          <a:spLocks noChangeAspect="1" noChangeArrowheads="1"/>
        </xdr:cNvSpPr>
      </xdr:nvSpPr>
      <xdr:spPr bwMode="auto">
        <a:xfrm>
          <a:off x="6832600" y="147281900"/>
          <a:ext cx="17926050" cy="8261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738</xdr:row>
      <xdr:rowOff>0</xdr:rowOff>
    </xdr:from>
    <xdr:to>
      <xdr:col>29</xdr:col>
      <xdr:colOff>563123</xdr:colOff>
      <xdr:row>777</xdr:row>
      <xdr:rowOff>146051</xdr:rowOff>
    </xdr:to>
    <xdr:sp macro="" textlink="">
      <xdr:nvSpPr>
        <xdr:cNvPr id="6157" name="AutoShape 13">
          <a:extLst>
            <a:ext uri="{FF2B5EF4-FFF2-40B4-BE49-F238E27FC236}">
              <a16:creationId xmlns:a16="http://schemas.microsoft.com/office/drawing/2014/main" id="{6FD9C767-1670-292B-7DB9-4DB7D523EA1C}"/>
            </a:ext>
          </a:extLst>
        </xdr:cNvPr>
        <xdr:cNvSpPr>
          <a:spLocks noChangeAspect="1" noChangeArrowheads="1"/>
        </xdr:cNvSpPr>
      </xdr:nvSpPr>
      <xdr:spPr bwMode="auto">
        <a:xfrm>
          <a:off x="6832600" y="155454350"/>
          <a:ext cx="17957800" cy="8318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777</xdr:row>
      <xdr:rowOff>0</xdr:rowOff>
    </xdr:from>
    <xdr:to>
      <xdr:col>26</xdr:col>
      <xdr:colOff>493274</xdr:colOff>
      <xdr:row>806</xdr:row>
      <xdr:rowOff>133350</xdr:rowOff>
    </xdr:to>
    <xdr:sp macro="" textlink="">
      <xdr:nvSpPr>
        <xdr:cNvPr id="6158" name="AutoShape 14">
          <a:extLst>
            <a:ext uri="{FF2B5EF4-FFF2-40B4-BE49-F238E27FC236}">
              <a16:creationId xmlns:a16="http://schemas.microsoft.com/office/drawing/2014/main" id="{278AA3F9-A18F-2DE9-94B8-DC933D538F52}"/>
            </a:ext>
          </a:extLst>
        </xdr:cNvPr>
        <xdr:cNvSpPr>
          <a:spLocks noChangeAspect="1" noChangeArrowheads="1"/>
        </xdr:cNvSpPr>
      </xdr:nvSpPr>
      <xdr:spPr bwMode="auto">
        <a:xfrm>
          <a:off x="6832600" y="163626800"/>
          <a:ext cx="16059150" cy="6210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807</xdr:row>
      <xdr:rowOff>0</xdr:rowOff>
    </xdr:from>
    <xdr:to>
      <xdr:col>15</xdr:col>
      <xdr:colOff>37695</xdr:colOff>
      <xdr:row>846</xdr:row>
      <xdr:rowOff>31750</xdr:rowOff>
    </xdr:to>
    <xdr:sp macro="" textlink="">
      <xdr:nvSpPr>
        <xdr:cNvPr id="6159" name="AutoShape 15">
          <a:extLst>
            <a:ext uri="{FF2B5EF4-FFF2-40B4-BE49-F238E27FC236}">
              <a16:creationId xmlns:a16="http://schemas.microsoft.com/office/drawing/2014/main" id="{D6B3BC11-8602-0154-7AC8-CCE49C29663D}"/>
            </a:ext>
          </a:extLst>
        </xdr:cNvPr>
        <xdr:cNvSpPr>
          <a:spLocks noChangeAspect="1" noChangeArrowheads="1"/>
        </xdr:cNvSpPr>
      </xdr:nvSpPr>
      <xdr:spPr bwMode="auto">
        <a:xfrm>
          <a:off x="6832600" y="169913300"/>
          <a:ext cx="8896350" cy="8204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846</xdr:row>
      <xdr:rowOff>0</xdr:rowOff>
    </xdr:from>
    <xdr:to>
      <xdr:col>29</xdr:col>
      <xdr:colOff>582173</xdr:colOff>
      <xdr:row>885</xdr:row>
      <xdr:rowOff>88899</xdr:rowOff>
    </xdr:to>
    <xdr:sp macro="" textlink="">
      <xdr:nvSpPr>
        <xdr:cNvPr id="6160" name="AutoShape 16">
          <a:extLst>
            <a:ext uri="{FF2B5EF4-FFF2-40B4-BE49-F238E27FC236}">
              <a16:creationId xmlns:a16="http://schemas.microsoft.com/office/drawing/2014/main" id="{9F0EEA50-1F31-C72B-1E0A-06258476D211}"/>
            </a:ext>
          </a:extLst>
        </xdr:cNvPr>
        <xdr:cNvSpPr>
          <a:spLocks noChangeAspect="1" noChangeArrowheads="1"/>
        </xdr:cNvSpPr>
      </xdr:nvSpPr>
      <xdr:spPr bwMode="auto">
        <a:xfrm>
          <a:off x="6832600" y="178085750"/>
          <a:ext cx="17976850" cy="8261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886</xdr:row>
      <xdr:rowOff>0</xdr:rowOff>
    </xdr:from>
    <xdr:to>
      <xdr:col>14</xdr:col>
      <xdr:colOff>531373</xdr:colOff>
      <xdr:row>921</xdr:row>
      <xdr:rowOff>133350</xdr:rowOff>
    </xdr:to>
    <xdr:sp macro="" textlink="">
      <xdr:nvSpPr>
        <xdr:cNvPr id="6161" name="AutoShape 17">
          <a:extLst>
            <a:ext uri="{FF2B5EF4-FFF2-40B4-BE49-F238E27FC236}">
              <a16:creationId xmlns:a16="http://schemas.microsoft.com/office/drawing/2014/main" id="{3D017FF9-68FA-C1E2-3025-C417DF5798DB}"/>
            </a:ext>
          </a:extLst>
        </xdr:cNvPr>
        <xdr:cNvSpPr>
          <a:spLocks noChangeAspect="1" noChangeArrowheads="1"/>
        </xdr:cNvSpPr>
      </xdr:nvSpPr>
      <xdr:spPr bwMode="auto">
        <a:xfrm>
          <a:off x="6832600" y="186467750"/>
          <a:ext cx="8782050" cy="7467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922</xdr:row>
      <xdr:rowOff>0</xdr:rowOff>
    </xdr:from>
    <xdr:to>
      <xdr:col>14</xdr:col>
      <xdr:colOff>531373</xdr:colOff>
      <xdr:row>960</xdr:row>
      <xdr:rowOff>127000</xdr:rowOff>
    </xdr:to>
    <xdr:sp macro="" textlink="">
      <xdr:nvSpPr>
        <xdr:cNvPr id="6162" name="AutoShape 18">
          <a:extLst>
            <a:ext uri="{FF2B5EF4-FFF2-40B4-BE49-F238E27FC236}">
              <a16:creationId xmlns:a16="http://schemas.microsoft.com/office/drawing/2014/main" id="{659D87F9-0F1E-E6D8-593D-D000303547CC}"/>
            </a:ext>
          </a:extLst>
        </xdr:cNvPr>
        <xdr:cNvSpPr>
          <a:spLocks noChangeAspect="1" noChangeArrowheads="1"/>
        </xdr:cNvSpPr>
      </xdr:nvSpPr>
      <xdr:spPr bwMode="auto">
        <a:xfrm>
          <a:off x="6832600" y="194011550"/>
          <a:ext cx="8782050" cy="8089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960</xdr:row>
      <xdr:rowOff>0</xdr:rowOff>
    </xdr:from>
    <xdr:to>
      <xdr:col>14</xdr:col>
      <xdr:colOff>505973</xdr:colOff>
      <xdr:row>985</xdr:row>
      <xdr:rowOff>31749</xdr:rowOff>
    </xdr:to>
    <xdr:sp macro="" textlink="">
      <xdr:nvSpPr>
        <xdr:cNvPr id="6163" name="AutoShape 19">
          <a:extLst>
            <a:ext uri="{FF2B5EF4-FFF2-40B4-BE49-F238E27FC236}">
              <a16:creationId xmlns:a16="http://schemas.microsoft.com/office/drawing/2014/main" id="{D3463DF7-3ECE-8605-5869-CE774CD9DE77}"/>
            </a:ext>
          </a:extLst>
        </xdr:cNvPr>
        <xdr:cNvSpPr>
          <a:spLocks noChangeAspect="1" noChangeArrowheads="1"/>
        </xdr:cNvSpPr>
      </xdr:nvSpPr>
      <xdr:spPr bwMode="auto">
        <a:xfrm>
          <a:off x="6832600" y="201974450"/>
          <a:ext cx="8756650" cy="527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985</xdr:row>
      <xdr:rowOff>0</xdr:rowOff>
    </xdr:from>
    <xdr:to>
      <xdr:col>7</xdr:col>
      <xdr:colOff>588523</xdr:colOff>
      <xdr:row>998</xdr:row>
      <xdr:rowOff>31751</xdr:rowOff>
    </xdr:to>
    <xdr:sp macro="" textlink="">
      <xdr:nvSpPr>
        <xdr:cNvPr id="6164" name="AutoShape 20">
          <a:extLst>
            <a:ext uri="{FF2B5EF4-FFF2-40B4-BE49-F238E27FC236}">
              <a16:creationId xmlns:a16="http://schemas.microsoft.com/office/drawing/2014/main" id="{914389F3-ED2D-F5BA-2EF1-087F767C372D}"/>
            </a:ext>
          </a:extLst>
        </xdr:cNvPr>
        <xdr:cNvSpPr>
          <a:spLocks noChangeAspect="1" noChangeArrowheads="1"/>
        </xdr:cNvSpPr>
      </xdr:nvSpPr>
      <xdr:spPr bwMode="auto">
        <a:xfrm>
          <a:off x="6832600" y="207213200"/>
          <a:ext cx="4572000" cy="2755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998</xdr:row>
      <xdr:rowOff>0</xdr:rowOff>
    </xdr:from>
    <xdr:to>
      <xdr:col>7</xdr:col>
      <xdr:colOff>588523</xdr:colOff>
      <xdr:row>1011</xdr:row>
      <xdr:rowOff>19049</xdr:rowOff>
    </xdr:to>
    <xdr:sp macro="" textlink="">
      <xdr:nvSpPr>
        <xdr:cNvPr id="6165" name="AutoShape 21">
          <a:extLst>
            <a:ext uri="{FF2B5EF4-FFF2-40B4-BE49-F238E27FC236}">
              <a16:creationId xmlns:a16="http://schemas.microsoft.com/office/drawing/2014/main" id="{BAE3E1DE-2117-12BC-7CB0-E5F0D7EB7CA2}"/>
            </a:ext>
          </a:extLst>
        </xdr:cNvPr>
        <xdr:cNvSpPr>
          <a:spLocks noChangeAspect="1" noChangeArrowheads="1"/>
        </xdr:cNvSpPr>
      </xdr:nvSpPr>
      <xdr:spPr bwMode="auto">
        <a:xfrm>
          <a:off x="6832600" y="209937350"/>
          <a:ext cx="4572000" cy="2743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1011</xdr:row>
      <xdr:rowOff>0</xdr:rowOff>
    </xdr:from>
    <xdr:to>
      <xdr:col>7</xdr:col>
      <xdr:colOff>588523</xdr:colOff>
      <xdr:row>1024</xdr:row>
      <xdr:rowOff>19051</xdr:rowOff>
    </xdr:to>
    <xdr:sp macro="" textlink="">
      <xdr:nvSpPr>
        <xdr:cNvPr id="6166" name="AutoShape 22">
          <a:extLst>
            <a:ext uri="{FF2B5EF4-FFF2-40B4-BE49-F238E27FC236}">
              <a16:creationId xmlns:a16="http://schemas.microsoft.com/office/drawing/2014/main" id="{EA5C3F24-7BA8-8531-4A9E-48ED272E6320}"/>
            </a:ext>
          </a:extLst>
        </xdr:cNvPr>
        <xdr:cNvSpPr>
          <a:spLocks noChangeAspect="1" noChangeArrowheads="1"/>
        </xdr:cNvSpPr>
      </xdr:nvSpPr>
      <xdr:spPr bwMode="auto">
        <a:xfrm>
          <a:off x="6832600" y="212661500"/>
          <a:ext cx="4572000" cy="2743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1024</xdr:row>
      <xdr:rowOff>0</xdr:rowOff>
    </xdr:from>
    <xdr:to>
      <xdr:col>7</xdr:col>
      <xdr:colOff>588523</xdr:colOff>
      <xdr:row>1036</xdr:row>
      <xdr:rowOff>211665</xdr:rowOff>
    </xdr:to>
    <xdr:sp macro="" textlink="">
      <xdr:nvSpPr>
        <xdr:cNvPr id="6167" name="AutoShape 23">
          <a:extLst>
            <a:ext uri="{FF2B5EF4-FFF2-40B4-BE49-F238E27FC236}">
              <a16:creationId xmlns:a16="http://schemas.microsoft.com/office/drawing/2014/main" id="{8D7854FA-D9C6-E84B-1CFE-761A10CF3D4D}"/>
            </a:ext>
          </a:extLst>
        </xdr:cNvPr>
        <xdr:cNvSpPr>
          <a:spLocks noChangeAspect="1" noChangeArrowheads="1"/>
        </xdr:cNvSpPr>
      </xdr:nvSpPr>
      <xdr:spPr bwMode="auto">
        <a:xfrm>
          <a:off x="6832600" y="215385650"/>
          <a:ext cx="4572000" cy="272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1038</xdr:row>
      <xdr:rowOff>0</xdr:rowOff>
    </xdr:from>
    <xdr:to>
      <xdr:col>7</xdr:col>
      <xdr:colOff>601223</xdr:colOff>
      <xdr:row>1049</xdr:row>
      <xdr:rowOff>114299</xdr:rowOff>
    </xdr:to>
    <xdr:sp macro="" textlink="">
      <xdr:nvSpPr>
        <xdr:cNvPr id="6168" name="AutoShape 24">
          <a:extLst>
            <a:ext uri="{FF2B5EF4-FFF2-40B4-BE49-F238E27FC236}">
              <a16:creationId xmlns:a16="http://schemas.microsoft.com/office/drawing/2014/main" id="{5F0B6684-E4E5-21A8-A7E6-D1135B1B686F}"/>
            </a:ext>
          </a:extLst>
        </xdr:cNvPr>
        <xdr:cNvSpPr>
          <a:spLocks noChangeAspect="1" noChangeArrowheads="1"/>
        </xdr:cNvSpPr>
      </xdr:nvSpPr>
      <xdr:spPr bwMode="auto">
        <a:xfrm>
          <a:off x="6832600" y="218319350"/>
          <a:ext cx="4584700" cy="2419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1049</xdr:row>
      <xdr:rowOff>0</xdr:rowOff>
    </xdr:from>
    <xdr:to>
      <xdr:col>7</xdr:col>
      <xdr:colOff>601223</xdr:colOff>
      <xdr:row>1060</xdr:row>
      <xdr:rowOff>114301</xdr:rowOff>
    </xdr:to>
    <xdr:sp macro="" textlink="">
      <xdr:nvSpPr>
        <xdr:cNvPr id="6169" name="AutoShape 25">
          <a:extLst>
            <a:ext uri="{FF2B5EF4-FFF2-40B4-BE49-F238E27FC236}">
              <a16:creationId xmlns:a16="http://schemas.microsoft.com/office/drawing/2014/main" id="{99238190-A4BA-2951-E144-3C5F2815D0EA}"/>
            </a:ext>
          </a:extLst>
        </xdr:cNvPr>
        <xdr:cNvSpPr>
          <a:spLocks noChangeAspect="1" noChangeArrowheads="1"/>
        </xdr:cNvSpPr>
      </xdr:nvSpPr>
      <xdr:spPr bwMode="auto">
        <a:xfrm>
          <a:off x="6832600" y="220624400"/>
          <a:ext cx="4584700" cy="2419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1060</xdr:row>
      <xdr:rowOff>0</xdr:rowOff>
    </xdr:from>
    <xdr:to>
      <xdr:col>7</xdr:col>
      <xdr:colOff>601223</xdr:colOff>
      <xdr:row>1073</xdr:row>
      <xdr:rowOff>31750</xdr:rowOff>
    </xdr:to>
    <xdr:sp macro="" textlink="">
      <xdr:nvSpPr>
        <xdr:cNvPr id="6170" name="AutoShape 26">
          <a:extLst>
            <a:ext uri="{FF2B5EF4-FFF2-40B4-BE49-F238E27FC236}">
              <a16:creationId xmlns:a16="http://schemas.microsoft.com/office/drawing/2014/main" id="{30626EBC-02BA-E0FC-04C6-ADEE5F7EC80A}"/>
            </a:ext>
          </a:extLst>
        </xdr:cNvPr>
        <xdr:cNvSpPr>
          <a:spLocks noChangeAspect="1" noChangeArrowheads="1"/>
        </xdr:cNvSpPr>
      </xdr:nvSpPr>
      <xdr:spPr bwMode="auto">
        <a:xfrm>
          <a:off x="6832600" y="222929450"/>
          <a:ext cx="4584700" cy="2755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1074</xdr:row>
      <xdr:rowOff>0</xdr:rowOff>
    </xdr:from>
    <xdr:to>
      <xdr:col>14</xdr:col>
      <xdr:colOff>296423</xdr:colOff>
      <xdr:row>1110</xdr:row>
      <xdr:rowOff>0</xdr:rowOff>
    </xdr:to>
    <xdr:sp macro="" textlink="">
      <xdr:nvSpPr>
        <xdr:cNvPr id="6171" name="AutoShape 27">
          <a:extLst>
            <a:ext uri="{FF2B5EF4-FFF2-40B4-BE49-F238E27FC236}">
              <a16:creationId xmlns:a16="http://schemas.microsoft.com/office/drawing/2014/main" id="{C7B2AE5A-D4F0-DCF3-3608-63CDCEDD6A7F}"/>
            </a:ext>
          </a:extLst>
        </xdr:cNvPr>
        <xdr:cNvSpPr>
          <a:spLocks noChangeAspect="1" noChangeArrowheads="1"/>
        </xdr:cNvSpPr>
      </xdr:nvSpPr>
      <xdr:spPr bwMode="auto">
        <a:xfrm>
          <a:off x="6832600" y="225863150"/>
          <a:ext cx="8547100" cy="7543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1111</xdr:row>
      <xdr:rowOff>0</xdr:rowOff>
    </xdr:from>
    <xdr:to>
      <xdr:col>15</xdr:col>
      <xdr:colOff>321824</xdr:colOff>
      <xdr:row>1139</xdr:row>
      <xdr:rowOff>107949</xdr:rowOff>
    </xdr:to>
    <xdr:sp macro="" textlink="">
      <xdr:nvSpPr>
        <xdr:cNvPr id="6172" name="AutoShape 28">
          <a:extLst>
            <a:ext uri="{FF2B5EF4-FFF2-40B4-BE49-F238E27FC236}">
              <a16:creationId xmlns:a16="http://schemas.microsoft.com/office/drawing/2014/main" id="{9CF7D196-2760-A0C1-2A0F-118466DEC57B}"/>
            </a:ext>
          </a:extLst>
        </xdr:cNvPr>
        <xdr:cNvSpPr>
          <a:spLocks noChangeAspect="1" noChangeArrowheads="1"/>
        </xdr:cNvSpPr>
      </xdr:nvSpPr>
      <xdr:spPr bwMode="auto">
        <a:xfrm>
          <a:off x="6832600" y="233616500"/>
          <a:ext cx="9182100" cy="5975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1139</xdr:row>
      <xdr:rowOff>0</xdr:rowOff>
    </xdr:from>
    <xdr:to>
      <xdr:col>15</xdr:col>
      <xdr:colOff>94845</xdr:colOff>
      <xdr:row>1178</xdr:row>
      <xdr:rowOff>127001</xdr:rowOff>
    </xdr:to>
    <xdr:sp macro="" textlink="">
      <xdr:nvSpPr>
        <xdr:cNvPr id="6173" name="AutoShape 29">
          <a:extLst>
            <a:ext uri="{FF2B5EF4-FFF2-40B4-BE49-F238E27FC236}">
              <a16:creationId xmlns:a16="http://schemas.microsoft.com/office/drawing/2014/main" id="{2BDDC55C-8BC7-7285-BC21-47FD25A82C7D}"/>
            </a:ext>
          </a:extLst>
        </xdr:cNvPr>
        <xdr:cNvSpPr>
          <a:spLocks noChangeAspect="1" noChangeArrowheads="1"/>
        </xdr:cNvSpPr>
      </xdr:nvSpPr>
      <xdr:spPr bwMode="auto">
        <a:xfrm>
          <a:off x="6832600" y="239483900"/>
          <a:ext cx="8953500" cy="8299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1178</xdr:row>
      <xdr:rowOff>0</xdr:rowOff>
    </xdr:from>
    <xdr:to>
      <xdr:col>15</xdr:col>
      <xdr:colOff>209145</xdr:colOff>
      <xdr:row>1217</xdr:row>
      <xdr:rowOff>146050</xdr:rowOff>
    </xdr:to>
    <xdr:sp macro="" textlink="">
      <xdr:nvSpPr>
        <xdr:cNvPr id="6174" name="AutoShape 30">
          <a:extLst>
            <a:ext uri="{FF2B5EF4-FFF2-40B4-BE49-F238E27FC236}">
              <a16:creationId xmlns:a16="http://schemas.microsoft.com/office/drawing/2014/main" id="{666CF0B5-06D1-8BB6-6EB4-815018FB3BF7}"/>
            </a:ext>
          </a:extLst>
        </xdr:cNvPr>
        <xdr:cNvSpPr>
          <a:spLocks noChangeAspect="1" noChangeArrowheads="1"/>
        </xdr:cNvSpPr>
      </xdr:nvSpPr>
      <xdr:spPr bwMode="auto">
        <a:xfrm>
          <a:off x="6832600" y="247656350"/>
          <a:ext cx="9067800" cy="8318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1219</xdr:row>
      <xdr:rowOff>0</xdr:rowOff>
    </xdr:from>
    <xdr:to>
      <xdr:col>15</xdr:col>
      <xdr:colOff>37695</xdr:colOff>
      <xdr:row>1256</xdr:row>
      <xdr:rowOff>88900</xdr:rowOff>
    </xdr:to>
    <xdr:sp macro="" textlink="">
      <xdr:nvSpPr>
        <xdr:cNvPr id="6175" name="AutoShape 31">
          <a:extLst>
            <a:ext uri="{FF2B5EF4-FFF2-40B4-BE49-F238E27FC236}">
              <a16:creationId xmlns:a16="http://schemas.microsoft.com/office/drawing/2014/main" id="{ECE569BB-75EC-B5E2-5D08-1EAD7FA297B9}"/>
            </a:ext>
          </a:extLst>
        </xdr:cNvPr>
        <xdr:cNvSpPr>
          <a:spLocks noChangeAspect="1" noChangeArrowheads="1"/>
        </xdr:cNvSpPr>
      </xdr:nvSpPr>
      <xdr:spPr bwMode="auto">
        <a:xfrm>
          <a:off x="6832600" y="256247900"/>
          <a:ext cx="8896350" cy="78422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1257</xdr:row>
      <xdr:rowOff>0</xdr:rowOff>
    </xdr:from>
    <xdr:to>
      <xdr:col>13</xdr:col>
      <xdr:colOff>531373</xdr:colOff>
      <xdr:row>1278</xdr:row>
      <xdr:rowOff>114300</xdr:rowOff>
    </xdr:to>
    <xdr:sp macro="" textlink="">
      <xdr:nvSpPr>
        <xdr:cNvPr id="6176" name="AutoShape 32">
          <a:extLst>
            <a:ext uri="{FF2B5EF4-FFF2-40B4-BE49-F238E27FC236}">
              <a16:creationId xmlns:a16="http://schemas.microsoft.com/office/drawing/2014/main" id="{C28955CA-DCA7-3EAE-693E-CED1FF6E98F2}"/>
            </a:ext>
          </a:extLst>
        </xdr:cNvPr>
        <xdr:cNvSpPr>
          <a:spLocks noChangeAspect="1" noChangeArrowheads="1"/>
        </xdr:cNvSpPr>
      </xdr:nvSpPr>
      <xdr:spPr bwMode="auto">
        <a:xfrm>
          <a:off x="6832600" y="264210800"/>
          <a:ext cx="8172450" cy="4514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1326</xdr:row>
      <xdr:rowOff>0</xdr:rowOff>
    </xdr:from>
    <xdr:to>
      <xdr:col>13</xdr:col>
      <xdr:colOff>486923</xdr:colOff>
      <xdr:row>1341</xdr:row>
      <xdr:rowOff>114299</xdr:rowOff>
    </xdr:to>
    <xdr:sp macro="" textlink="">
      <xdr:nvSpPr>
        <xdr:cNvPr id="6177" name="AutoShape 33">
          <a:extLst>
            <a:ext uri="{FF2B5EF4-FFF2-40B4-BE49-F238E27FC236}">
              <a16:creationId xmlns:a16="http://schemas.microsoft.com/office/drawing/2014/main" id="{A5CDDFD2-E541-2955-B189-A5F1908462AA}"/>
            </a:ext>
          </a:extLst>
        </xdr:cNvPr>
        <xdr:cNvSpPr>
          <a:spLocks noChangeAspect="1" noChangeArrowheads="1"/>
        </xdr:cNvSpPr>
      </xdr:nvSpPr>
      <xdr:spPr bwMode="auto">
        <a:xfrm>
          <a:off x="6832600" y="278669750"/>
          <a:ext cx="8128000" cy="3257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1532</xdr:row>
      <xdr:rowOff>0</xdr:rowOff>
    </xdr:from>
    <xdr:to>
      <xdr:col>13</xdr:col>
      <xdr:colOff>359923</xdr:colOff>
      <xdr:row>1561</xdr:row>
      <xdr:rowOff>165099</xdr:rowOff>
    </xdr:to>
    <xdr:sp macro="" textlink="">
      <xdr:nvSpPr>
        <xdr:cNvPr id="6178" name="AutoShape 34">
          <a:extLst>
            <a:ext uri="{FF2B5EF4-FFF2-40B4-BE49-F238E27FC236}">
              <a16:creationId xmlns:a16="http://schemas.microsoft.com/office/drawing/2014/main" id="{E6842377-F231-2070-E3D8-804938DC1CAA}"/>
            </a:ext>
          </a:extLst>
        </xdr:cNvPr>
        <xdr:cNvSpPr>
          <a:spLocks noChangeAspect="1" noChangeArrowheads="1"/>
        </xdr:cNvSpPr>
      </xdr:nvSpPr>
      <xdr:spPr bwMode="auto">
        <a:xfrm>
          <a:off x="6832600" y="322916550"/>
          <a:ext cx="8001000" cy="6242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1561</xdr:row>
      <xdr:rowOff>0</xdr:rowOff>
    </xdr:from>
    <xdr:to>
      <xdr:col>11</xdr:col>
      <xdr:colOff>448823</xdr:colOff>
      <xdr:row>1581</xdr:row>
      <xdr:rowOff>50799</xdr:rowOff>
    </xdr:to>
    <xdr:sp macro="" textlink="">
      <xdr:nvSpPr>
        <xdr:cNvPr id="6179" name="AutoShape 35">
          <a:extLst>
            <a:ext uri="{FF2B5EF4-FFF2-40B4-BE49-F238E27FC236}">
              <a16:creationId xmlns:a16="http://schemas.microsoft.com/office/drawing/2014/main" id="{DAFB9D7F-34E0-60AD-ECE0-CF342C725E42}"/>
            </a:ext>
          </a:extLst>
        </xdr:cNvPr>
        <xdr:cNvSpPr>
          <a:spLocks noChangeAspect="1" noChangeArrowheads="1"/>
        </xdr:cNvSpPr>
      </xdr:nvSpPr>
      <xdr:spPr bwMode="auto">
        <a:xfrm>
          <a:off x="6832600" y="328993500"/>
          <a:ext cx="6870700" cy="4241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1581</xdr:row>
      <xdr:rowOff>0</xdr:rowOff>
    </xdr:from>
    <xdr:to>
      <xdr:col>14</xdr:col>
      <xdr:colOff>12294</xdr:colOff>
      <xdr:row>1609</xdr:row>
      <xdr:rowOff>19050</xdr:rowOff>
    </xdr:to>
    <xdr:sp macro="" textlink="">
      <xdr:nvSpPr>
        <xdr:cNvPr id="6180" name="AutoShape 36">
          <a:extLst>
            <a:ext uri="{FF2B5EF4-FFF2-40B4-BE49-F238E27FC236}">
              <a16:creationId xmlns:a16="http://schemas.microsoft.com/office/drawing/2014/main" id="{2F71F574-D7B5-A37E-B5B9-F553A8360764}"/>
            </a:ext>
          </a:extLst>
        </xdr:cNvPr>
        <xdr:cNvSpPr>
          <a:spLocks noChangeAspect="1" noChangeArrowheads="1"/>
        </xdr:cNvSpPr>
      </xdr:nvSpPr>
      <xdr:spPr bwMode="auto">
        <a:xfrm>
          <a:off x="6832600" y="333184500"/>
          <a:ext cx="8261350" cy="5886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1609</xdr:row>
      <xdr:rowOff>0</xdr:rowOff>
    </xdr:from>
    <xdr:to>
      <xdr:col>12</xdr:col>
      <xdr:colOff>259945</xdr:colOff>
      <xdr:row>1639</xdr:row>
      <xdr:rowOff>69852</xdr:rowOff>
    </xdr:to>
    <xdr:sp macro="" textlink="">
      <xdr:nvSpPr>
        <xdr:cNvPr id="6181" name="AutoShape 37">
          <a:extLst>
            <a:ext uri="{FF2B5EF4-FFF2-40B4-BE49-F238E27FC236}">
              <a16:creationId xmlns:a16="http://schemas.microsoft.com/office/drawing/2014/main" id="{583D8434-32CF-793E-A79E-3065BAFEFFD8}"/>
            </a:ext>
          </a:extLst>
        </xdr:cNvPr>
        <xdr:cNvSpPr>
          <a:spLocks noChangeAspect="1" noChangeArrowheads="1"/>
        </xdr:cNvSpPr>
      </xdr:nvSpPr>
      <xdr:spPr bwMode="auto">
        <a:xfrm>
          <a:off x="6832600" y="339051900"/>
          <a:ext cx="7289800" cy="6356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1639</xdr:row>
      <xdr:rowOff>0</xdr:rowOff>
    </xdr:from>
    <xdr:to>
      <xdr:col>7</xdr:col>
      <xdr:colOff>315473</xdr:colOff>
      <xdr:row>1653</xdr:row>
      <xdr:rowOff>107949</xdr:rowOff>
    </xdr:to>
    <xdr:sp macro="" textlink="">
      <xdr:nvSpPr>
        <xdr:cNvPr id="6182" name="AutoShape 38">
          <a:extLst>
            <a:ext uri="{FF2B5EF4-FFF2-40B4-BE49-F238E27FC236}">
              <a16:creationId xmlns:a16="http://schemas.microsoft.com/office/drawing/2014/main" id="{5F7D1045-F376-E9C3-E015-0A8ED3406C6D}"/>
            </a:ext>
          </a:extLst>
        </xdr:cNvPr>
        <xdr:cNvSpPr>
          <a:spLocks noChangeAspect="1" noChangeArrowheads="1"/>
        </xdr:cNvSpPr>
      </xdr:nvSpPr>
      <xdr:spPr bwMode="auto">
        <a:xfrm>
          <a:off x="6832600" y="345338400"/>
          <a:ext cx="4298950" cy="30416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1653</xdr:row>
      <xdr:rowOff>0</xdr:rowOff>
    </xdr:from>
    <xdr:to>
      <xdr:col>6</xdr:col>
      <xdr:colOff>486518</xdr:colOff>
      <xdr:row>1670</xdr:row>
      <xdr:rowOff>190501</xdr:rowOff>
    </xdr:to>
    <xdr:sp macro="" textlink="">
      <xdr:nvSpPr>
        <xdr:cNvPr id="6183" name="AutoShape 39">
          <a:extLst>
            <a:ext uri="{FF2B5EF4-FFF2-40B4-BE49-F238E27FC236}">
              <a16:creationId xmlns:a16="http://schemas.microsoft.com/office/drawing/2014/main" id="{1CF1A530-746E-50ED-3644-886F8C713D55}"/>
            </a:ext>
          </a:extLst>
        </xdr:cNvPr>
        <xdr:cNvSpPr>
          <a:spLocks noChangeAspect="1" noChangeArrowheads="1"/>
        </xdr:cNvSpPr>
      </xdr:nvSpPr>
      <xdr:spPr bwMode="auto">
        <a:xfrm>
          <a:off x="6832600" y="348272100"/>
          <a:ext cx="3575050" cy="3752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1670</xdr:row>
      <xdr:rowOff>0</xdr:rowOff>
    </xdr:from>
    <xdr:to>
      <xdr:col>10</xdr:col>
      <xdr:colOff>531373</xdr:colOff>
      <xdr:row>1694</xdr:row>
      <xdr:rowOff>69850</xdr:rowOff>
    </xdr:to>
    <xdr:sp macro="" textlink="">
      <xdr:nvSpPr>
        <xdr:cNvPr id="6184" name="AutoShape 40">
          <a:extLst>
            <a:ext uri="{FF2B5EF4-FFF2-40B4-BE49-F238E27FC236}">
              <a16:creationId xmlns:a16="http://schemas.microsoft.com/office/drawing/2014/main" id="{BD06D5FB-F0CA-281F-2352-C7DBD71B2026}"/>
            </a:ext>
          </a:extLst>
        </xdr:cNvPr>
        <xdr:cNvSpPr>
          <a:spLocks noChangeAspect="1" noChangeArrowheads="1"/>
        </xdr:cNvSpPr>
      </xdr:nvSpPr>
      <xdr:spPr bwMode="auto">
        <a:xfrm>
          <a:off x="6832600" y="351834450"/>
          <a:ext cx="6343650" cy="5099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1694</xdr:row>
      <xdr:rowOff>0</xdr:rowOff>
    </xdr:from>
    <xdr:to>
      <xdr:col>5</xdr:col>
      <xdr:colOff>341819</xdr:colOff>
      <xdr:row>1714</xdr:row>
      <xdr:rowOff>95249</xdr:rowOff>
    </xdr:to>
    <xdr:sp macro="" textlink="">
      <xdr:nvSpPr>
        <xdr:cNvPr id="6185" name="AutoShape 41">
          <a:extLst>
            <a:ext uri="{FF2B5EF4-FFF2-40B4-BE49-F238E27FC236}">
              <a16:creationId xmlns:a16="http://schemas.microsoft.com/office/drawing/2014/main" id="{FD58787D-076A-F829-F684-DF2E18147538}"/>
            </a:ext>
          </a:extLst>
        </xdr:cNvPr>
        <xdr:cNvSpPr>
          <a:spLocks noChangeAspect="1" noChangeArrowheads="1"/>
        </xdr:cNvSpPr>
      </xdr:nvSpPr>
      <xdr:spPr bwMode="auto">
        <a:xfrm>
          <a:off x="6832600" y="356863650"/>
          <a:ext cx="2400300" cy="42862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1715</xdr:row>
      <xdr:rowOff>0</xdr:rowOff>
    </xdr:from>
    <xdr:to>
      <xdr:col>15</xdr:col>
      <xdr:colOff>126595</xdr:colOff>
      <xdr:row>1736</xdr:row>
      <xdr:rowOff>69850</xdr:rowOff>
    </xdr:to>
    <xdr:sp macro="" textlink="">
      <xdr:nvSpPr>
        <xdr:cNvPr id="6186" name="AutoShape 42">
          <a:extLst>
            <a:ext uri="{FF2B5EF4-FFF2-40B4-BE49-F238E27FC236}">
              <a16:creationId xmlns:a16="http://schemas.microsoft.com/office/drawing/2014/main" id="{A21DBAF7-E707-AD24-4E18-9980C82D488F}"/>
            </a:ext>
          </a:extLst>
        </xdr:cNvPr>
        <xdr:cNvSpPr>
          <a:spLocks noChangeAspect="1" noChangeArrowheads="1"/>
        </xdr:cNvSpPr>
      </xdr:nvSpPr>
      <xdr:spPr bwMode="auto">
        <a:xfrm>
          <a:off x="6832600" y="361264200"/>
          <a:ext cx="8985250" cy="447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1737</xdr:row>
      <xdr:rowOff>0</xdr:rowOff>
    </xdr:from>
    <xdr:to>
      <xdr:col>12</xdr:col>
      <xdr:colOff>582174</xdr:colOff>
      <xdr:row>1757</xdr:row>
      <xdr:rowOff>50800</xdr:rowOff>
    </xdr:to>
    <xdr:sp macro="" textlink="">
      <xdr:nvSpPr>
        <xdr:cNvPr id="6187" name="AutoShape 43">
          <a:extLst>
            <a:ext uri="{FF2B5EF4-FFF2-40B4-BE49-F238E27FC236}">
              <a16:creationId xmlns:a16="http://schemas.microsoft.com/office/drawing/2014/main" id="{7DBDBEA6-BECD-B103-64D9-6E671AAD84F1}"/>
            </a:ext>
          </a:extLst>
        </xdr:cNvPr>
        <xdr:cNvSpPr>
          <a:spLocks noChangeAspect="1" noChangeArrowheads="1"/>
        </xdr:cNvSpPr>
      </xdr:nvSpPr>
      <xdr:spPr bwMode="auto">
        <a:xfrm>
          <a:off x="6832600" y="365874300"/>
          <a:ext cx="7613650" cy="4241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1758</xdr:row>
      <xdr:rowOff>0</xdr:rowOff>
    </xdr:from>
    <xdr:to>
      <xdr:col>10</xdr:col>
      <xdr:colOff>544073</xdr:colOff>
      <xdr:row>1768</xdr:row>
      <xdr:rowOff>165100</xdr:rowOff>
    </xdr:to>
    <xdr:sp macro="" textlink="">
      <xdr:nvSpPr>
        <xdr:cNvPr id="6188" name="AutoShape 44">
          <a:extLst>
            <a:ext uri="{FF2B5EF4-FFF2-40B4-BE49-F238E27FC236}">
              <a16:creationId xmlns:a16="http://schemas.microsoft.com/office/drawing/2014/main" id="{E42A87E9-4EE8-6D7C-A0FA-6BF8309A648F}"/>
            </a:ext>
          </a:extLst>
        </xdr:cNvPr>
        <xdr:cNvSpPr>
          <a:spLocks noChangeAspect="1" noChangeArrowheads="1"/>
        </xdr:cNvSpPr>
      </xdr:nvSpPr>
      <xdr:spPr bwMode="auto">
        <a:xfrm>
          <a:off x="6832600" y="370274850"/>
          <a:ext cx="6356350" cy="2260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1781</xdr:row>
      <xdr:rowOff>0</xdr:rowOff>
    </xdr:from>
    <xdr:to>
      <xdr:col>12</xdr:col>
      <xdr:colOff>410724</xdr:colOff>
      <xdr:row>1807</xdr:row>
      <xdr:rowOff>127001</xdr:rowOff>
    </xdr:to>
    <xdr:sp macro="" textlink="">
      <xdr:nvSpPr>
        <xdr:cNvPr id="6189" name="AutoShape 45">
          <a:extLst>
            <a:ext uri="{FF2B5EF4-FFF2-40B4-BE49-F238E27FC236}">
              <a16:creationId xmlns:a16="http://schemas.microsoft.com/office/drawing/2014/main" id="{9772D85E-596C-194A-AAEE-85444E9CAC51}"/>
            </a:ext>
          </a:extLst>
        </xdr:cNvPr>
        <xdr:cNvSpPr>
          <a:spLocks noChangeAspect="1" noChangeArrowheads="1"/>
        </xdr:cNvSpPr>
      </xdr:nvSpPr>
      <xdr:spPr bwMode="auto">
        <a:xfrm>
          <a:off x="6832600" y="375094500"/>
          <a:ext cx="7442200" cy="5575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1807</xdr:row>
      <xdr:rowOff>0</xdr:rowOff>
    </xdr:from>
    <xdr:to>
      <xdr:col>6</xdr:col>
      <xdr:colOff>378568</xdr:colOff>
      <xdr:row>1828</xdr:row>
      <xdr:rowOff>126999</xdr:rowOff>
    </xdr:to>
    <xdr:sp macro="" textlink="">
      <xdr:nvSpPr>
        <xdr:cNvPr id="6190" name="AutoShape 46">
          <a:extLst>
            <a:ext uri="{FF2B5EF4-FFF2-40B4-BE49-F238E27FC236}">
              <a16:creationId xmlns:a16="http://schemas.microsoft.com/office/drawing/2014/main" id="{2B9E2595-B7A1-CD6F-D0D3-CD5DCFEF68D2}"/>
            </a:ext>
          </a:extLst>
        </xdr:cNvPr>
        <xdr:cNvSpPr>
          <a:spLocks noChangeAspect="1" noChangeArrowheads="1"/>
        </xdr:cNvSpPr>
      </xdr:nvSpPr>
      <xdr:spPr bwMode="auto">
        <a:xfrm>
          <a:off x="6832600" y="380542800"/>
          <a:ext cx="3467100" cy="4527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1828</xdr:row>
      <xdr:rowOff>0</xdr:rowOff>
    </xdr:from>
    <xdr:to>
      <xdr:col>12</xdr:col>
      <xdr:colOff>145645</xdr:colOff>
      <xdr:row>1853</xdr:row>
      <xdr:rowOff>171450</xdr:rowOff>
    </xdr:to>
    <xdr:sp macro="" textlink="">
      <xdr:nvSpPr>
        <xdr:cNvPr id="6191" name="AutoShape 47">
          <a:extLst>
            <a:ext uri="{FF2B5EF4-FFF2-40B4-BE49-F238E27FC236}">
              <a16:creationId xmlns:a16="http://schemas.microsoft.com/office/drawing/2014/main" id="{D504ADFD-3AE5-AEB8-2A99-C184F07DE0F7}"/>
            </a:ext>
          </a:extLst>
        </xdr:cNvPr>
        <xdr:cNvSpPr>
          <a:spLocks noChangeAspect="1" noChangeArrowheads="1"/>
        </xdr:cNvSpPr>
      </xdr:nvSpPr>
      <xdr:spPr bwMode="auto">
        <a:xfrm>
          <a:off x="6832600" y="384943350"/>
          <a:ext cx="7175500" cy="5410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1853</xdr:row>
      <xdr:rowOff>0</xdr:rowOff>
    </xdr:from>
    <xdr:to>
      <xdr:col>7</xdr:col>
      <xdr:colOff>190094</xdr:colOff>
      <xdr:row>1878</xdr:row>
      <xdr:rowOff>31749</xdr:rowOff>
    </xdr:to>
    <xdr:sp macro="" textlink="">
      <xdr:nvSpPr>
        <xdr:cNvPr id="6192" name="AutoShape 48">
          <a:extLst>
            <a:ext uri="{FF2B5EF4-FFF2-40B4-BE49-F238E27FC236}">
              <a16:creationId xmlns:a16="http://schemas.microsoft.com/office/drawing/2014/main" id="{0D68A36F-4A46-53A2-71AA-22F9364C88B6}"/>
            </a:ext>
          </a:extLst>
        </xdr:cNvPr>
        <xdr:cNvSpPr>
          <a:spLocks noChangeAspect="1" noChangeArrowheads="1"/>
        </xdr:cNvSpPr>
      </xdr:nvSpPr>
      <xdr:spPr bwMode="auto">
        <a:xfrm>
          <a:off x="6832600" y="390182100"/>
          <a:ext cx="4171950" cy="527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1880</xdr:row>
      <xdr:rowOff>0</xdr:rowOff>
    </xdr:from>
    <xdr:to>
      <xdr:col>18</xdr:col>
      <xdr:colOff>240894</xdr:colOff>
      <xdr:row>1910</xdr:row>
      <xdr:rowOff>69850</xdr:rowOff>
    </xdr:to>
    <xdr:sp macro="" textlink="">
      <xdr:nvSpPr>
        <xdr:cNvPr id="6193" name="AutoShape 49">
          <a:extLst>
            <a:ext uri="{FF2B5EF4-FFF2-40B4-BE49-F238E27FC236}">
              <a16:creationId xmlns:a16="http://schemas.microsoft.com/office/drawing/2014/main" id="{CEE25D51-F4E5-A51A-F3C9-85880D50D379}"/>
            </a:ext>
          </a:extLst>
        </xdr:cNvPr>
        <xdr:cNvSpPr>
          <a:spLocks noChangeAspect="1" noChangeArrowheads="1"/>
        </xdr:cNvSpPr>
      </xdr:nvSpPr>
      <xdr:spPr bwMode="auto">
        <a:xfrm>
          <a:off x="6832600" y="395839950"/>
          <a:ext cx="10928350" cy="6356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1911</xdr:row>
      <xdr:rowOff>0</xdr:rowOff>
    </xdr:from>
    <xdr:to>
      <xdr:col>14</xdr:col>
      <xdr:colOff>12294</xdr:colOff>
      <xdr:row>1940</xdr:row>
      <xdr:rowOff>127000</xdr:rowOff>
    </xdr:to>
    <xdr:sp macro="" textlink="">
      <xdr:nvSpPr>
        <xdr:cNvPr id="6194" name="AutoShape 50">
          <a:extLst>
            <a:ext uri="{FF2B5EF4-FFF2-40B4-BE49-F238E27FC236}">
              <a16:creationId xmlns:a16="http://schemas.microsoft.com/office/drawing/2014/main" id="{46EDD96E-FEC4-DAFB-8024-50596957EA3A}"/>
            </a:ext>
          </a:extLst>
        </xdr:cNvPr>
        <xdr:cNvSpPr>
          <a:spLocks noChangeAspect="1" noChangeArrowheads="1"/>
        </xdr:cNvSpPr>
      </xdr:nvSpPr>
      <xdr:spPr bwMode="auto">
        <a:xfrm>
          <a:off x="6832600" y="402336000"/>
          <a:ext cx="8261350" cy="6203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1940</xdr:row>
      <xdr:rowOff>0</xdr:rowOff>
    </xdr:from>
    <xdr:to>
      <xdr:col>12</xdr:col>
      <xdr:colOff>493274</xdr:colOff>
      <xdr:row>1967</xdr:row>
      <xdr:rowOff>211666</xdr:rowOff>
    </xdr:to>
    <xdr:sp macro="" textlink="">
      <xdr:nvSpPr>
        <xdr:cNvPr id="6195" name="AutoShape 51">
          <a:extLst>
            <a:ext uri="{FF2B5EF4-FFF2-40B4-BE49-F238E27FC236}">
              <a16:creationId xmlns:a16="http://schemas.microsoft.com/office/drawing/2014/main" id="{22E40C80-C90D-E070-B1A9-1B19D291403A}"/>
            </a:ext>
          </a:extLst>
        </xdr:cNvPr>
        <xdr:cNvSpPr>
          <a:spLocks noChangeAspect="1" noChangeArrowheads="1"/>
        </xdr:cNvSpPr>
      </xdr:nvSpPr>
      <xdr:spPr bwMode="auto">
        <a:xfrm>
          <a:off x="6832600" y="408412950"/>
          <a:ext cx="7524750" cy="5867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1969</xdr:row>
      <xdr:rowOff>0</xdr:rowOff>
    </xdr:from>
    <xdr:to>
      <xdr:col>19</xdr:col>
      <xdr:colOff>228195</xdr:colOff>
      <xdr:row>1992</xdr:row>
      <xdr:rowOff>133348</xdr:rowOff>
    </xdr:to>
    <xdr:sp macro="" textlink="">
      <xdr:nvSpPr>
        <xdr:cNvPr id="6196" name="AutoShape 52">
          <a:extLst>
            <a:ext uri="{FF2B5EF4-FFF2-40B4-BE49-F238E27FC236}">
              <a16:creationId xmlns:a16="http://schemas.microsoft.com/office/drawing/2014/main" id="{488D0436-1647-D15D-81E9-CF3D4C8E1CB1}"/>
            </a:ext>
          </a:extLst>
        </xdr:cNvPr>
        <xdr:cNvSpPr>
          <a:spLocks noChangeAspect="1" noChangeArrowheads="1"/>
        </xdr:cNvSpPr>
      </xdr:nvSpPr>
      <xdr:spPr bwMode="auto">
        <a:xfrm>
          <a:off x="6832600" y="414489900"/>
          <a:ext cx="11525250" cy="4953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1992</xdr:row>
      <xdr:rowOff>0</xdr:rowOff>
    </xdr:from>
    <xdr:to>
      <xdr:col>19</xdr:col>
      <xdr:colOff>398024</xdr:colOff>
      <xdr:row>2017</xdr:row>
      <xdr:rowOff>2</xdr:rowOff>
    </xdr:to>
    <xdr:sp macro="" textlink="">
      <xdr:nvSpPr>
        <xdr:cNvPr id="6197" name="AutoShape 53">
          <a:extLst>
            <a:ext uri="{FF2B5EF4-FFF2-40B4-BE49-F238E27FC236}">
              <a16:creationId xmlns:a16="http://schemas.microsoft.com/office/drawing/2014/main" id="{2EB4F764-A684-2BD4-0D52-5838BC21F791}"/>
            </a:ext>
          </a:extLst>
        </xdr:cNvPr>
        <xdr:cNvSpPr>
          <a:spLocks noChangeAspect="1" noChangeArrowheads="1"/>
        </xdr:cNvSpPr>
      </xdr:nvSpPr>
      <xdr:spPr bwMode="auto">
        <a:xfrm>
          <a:off x="6832600" y="419309550"/>
          <a:ext cx="11696700" cy="523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2018</xdr:row>
      <xdr:rowOff>0</xdr:rowOff>
    </xdr:from>
    <xdr:to>
      <xdr:col>8</xdr:col>
      <xdr:colOff>247245</xdr:colOff>
      <xdr:row>2022</xdr:row>
      <xdr:rowOff>88901</xdr:rowOff>
    </xdr:to>
    <xdr:sp macro="" textlink="">
      <xdr:nvSpPr>
        <xdr:cNvPr id="6198" name="AutoShape 54">
          <a:extLst>
            <a:ext uri="{FF2B5EF4-FFF2-40B4-BE49-F238E27FC236}">
              <a16:creationId xmlns:a16="http://schemas.microsoft.com/office/drawing/2014/main" id="{2F02CE59-8237-DA42-004C-A1CD9096A7D3}"/>
            </a:ext>
          </a:extLst>
        </xdr:cNvPr>
        <xdr:cNvSpPr>
          <a:spLocks noChangeAspect="1" noChangeArrowheads="1"/>
        </xdr:cNvSpPr>
      </xdr:nvSpPr>
      <xdr:spPr bwMode="auto">
        <a:xfrm>
          <a:off x="6832600" y="424757850"/>
          <a:ext cx="4838700" cy="927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2022</xdr:row>
      <xdr:rowOff>0</xdr:rowOff>
    </xdr:from>
    <xdr:to>
      <xdr:col>8</xdr:col>
      <xdr:colOff>247245</xdr:colOff>
      <xdr:row>2026</xdr:row>
      <xdr:rowOff>88900</xdr:rowOff>
    </xdr:to>
    <xdr:sp macro="" textlink="">
      <xdr:nvSpPr>
        <xdr:cNvPr id="6199" name="AutoShape 55">
          <a:extLst>
            <a:ext uri="{FF2B5EF4-FFF2-40B4-BE49-F238E27FC236}">
              <a16:creationId xmlns:a16="http://schemas.microsoft.com/office/drawing/2014/main" id="{85B27BC2-09C5-8951-C046-DC0FA538CA31}"/>
            </a:ext>
          </a:extLst>
        </xdr:cNvPr>
        <xdr:cNvSpPr>
          <a:spLocks noChangeAspect="1" noChangeArrowheads="1"/>
        </xdr:cNvSpPr>
      </xdr:nvSpPr>
      <xdr:spPr bwMode="auto">
        <a:xfrm>
          <a:off x="6832600" y="425596050"/>
          <a:ext cx="4838700" cy="927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2027</xdr:row>
      <xdr:rowOff>0</xdr:rowOff>
    </xdr:from>
    <xdr:to>
      <xdr:col>20</xdr:col>
      <xdr:colOff>50395</xdr:colOff>
      <xdr:row>2052</xdr:row>
      <xdr:rowOff>19052</xdr:rowOff>
    </xdr:to>
    <xdr:sp macro="" textlink="">
      <xdr:nvSpPr>
        <xdr:cNvPr id="6200" name="AutoShape 56">
          <a:extLst>
            <a:ext uri="{FF2B5EF4-FFF2-40B4-BE49-F238E27FC236}">
              <a16:creationId xmlns:a16="http://schemas.microsoft.com/office/drawing/2014/main" id="{CF92C714-30AB-1F84-D150-0F99AA916F79}"/>
            </a:ext>
          </a:extLst>
        </xdr:cNvPr>
        <xdr:cNvSpPr>
          <a:spLocks noChangeAspect="1" noChangeArrowheads="1"/>
        </xdr:cNvSpPr>
      </xdr:nvSpPr>
      <xdr:spPr bwMode="auto">
        <a:xfrm>
          <a:off x="6832600" y="426643800"/>
          <a:ext cx="11957050" cy="5257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2054</xdr:row>
      <xdr:rowOff>0</xdr:rowOff>
    </xdr:from>
    <xdr:to>
      <xdr:col>9</xdr:col>
      <xdr:colOff>398023</xdr:colOff>
      <xdr:row>2076</xdr:row>
      <xdr:rowOff>146051</xdr:rowOff>
    </xdr:to>
    <xdr:sp macro="" textlink="">
      <xdr:nvSpPr>
        <xdr:cNvPr id="6201" name="AutoShape 57">
          <a:extLst>
            <a:ext uri="{FF2B5EF4-FFF2-40B4-BE49-F238E27FC236}">
              <a16:creationId xmlns:a16="http://schemas.microsoft.com/office/drawing/2014/main" id="{8A45FA86-5763-DD29-A686-D1D2F44C0BAD}"/>
            </a:ext>
          </a:extLst>
        </xdr:cNvPr>
        <xdr:cNvSpPr>
          <a:spLocks noChangeAspect="1" noChangeArrowheads="1"/>
        </xdr:cNvSpPr>
      </xdr:nvSpPr>
      <xdr:spPr bwMode="auto">
        <a:xfrm>
          <a:off x="6832600" y="432301650"/>
          <a:ext cx="5600700" cy="4756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2076</xdr:row>
      <xdr:rowOff>0</xdr:rowOff>
    </xdr:from>
    <xdr:to>
      <xdr:col>15</xdr:col>
      <xdr:colOff>429774</xdr:colOff>
      <xdr:row>2110</xdr:row>
      <xdr:rowOff>0</xdr:rowOff>
    </xdr:to>
    <xdr:sp macro="" textlink="">
      <xdr:nvSpPr>
        <xdr:cNvPr id="6202" name="AutoShape 58">
          <a:extLst>
            <a:ext uri="{FF2B5EF4-FFF2-40B4-BE49-F238E27FC236}">
              <a16:creationId xmlns:a16="http://schemas.microsoft.com/office/drawing/2014/main" id="{8F3DCEE1-533B-754F-592D-77876C36C9A7}"/>
            </a:ext>
          </a:extLst>
        </xdr:cNvPr>
        <xdr:cNvSpPr>
          <a:spLocks noChangeAspect="1" noChangeArrowheads="1"/>
        </xdr:cNvSpPr>
      </xdr:nvSpPr>
      <xdr:spPr bwMode="auto">
        <a:xfrm>
          <a:off x="6832600" y="436911750"/>
          <a:ext cx="9290050" cy="7124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2111</xdr:row>
      <xdr:rowOff>0</xdr:rowOff>
    </xdr:from>
    <xdr:to>
      <xdr:col>17</xdr:col>
      <xdr:colOff>221845</xdr:colOff>
      <xdr:row>2134</xdr:row>
      <xdr:rowOff>76199</xdr:rowOff>
    </xdr:to>
    <xdr:sp macro="" textlink="">
      <xdr:nvSpPr>
        <xdr:cNvPr id="6203" name="AutoShape 59">
          <a:extLst>
            <a:ext uri="{FF2B5EF4-FFF2-40B4-BE49-F238E27FC236}">
              <a16:creationId xmlns:a16="http://schemas.microsoft.com/office/drawing/2014/main" id="{EFB87FDE-47A0-BD66-0267-95354D6197E5}"/>
            </a:ext>
          </a:extLst>
        </xdr:cNvPr>
        <xdr:cNvSpPr>
          <a:spLocks noChangeAspect="1" noChangeArrowheads="1"/>
        </xdr:cNvSpPr>
      </xdr:nvSpPr>
      <xdr:spPr bwMode="auto">
        <a:xfrm>
          <a:off x="6832600" y="444246000"/>
          <a:ext cx="10299700" cy="4895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2136</xdr:row>
      <xdr:rowOff>0</xdr:rowOff>
    </xdr:from>
    <xdr:to>
      <xdr:col>19</xdr:col>
      <xdr:colOff>145645</xdr:colOff>
      <xdr:row>2168</xdr:row>
      <xdr:rowOff>190500</xdr:rowOff>
    </xdr:to>
    <xdr:sp macro="" textlink="">
      <xdr:nvSpPr>
        <xdr:cNvPr id="6204" name="AutoShape 60">
          <a:extLst>
            <a:ext uri="{FF2B5EF4-FFF2-40B4-BE49-F238E27FC236}">
              <a16:creationId xmlns:a16="http://schemas.microsoft.com/office/drawing/2014/main" id="{AD835F5A-874D-D757-F896-02917B96B70C}"/>
            </a:ext>
          </a:extLst>
        </xdr:cNvPr>
        <xdr:cNvSpPr>
          <a:spLocks noChangeAspect="1" noChangeArrowheads="1"/>
        </xdr:cNvSpPr>
      </xdr:nvSpPr>
      <xdr:spPr bwMode="auto">
        <a:xfrm>
          <a:off x="6832600" y="449484750"/>
          <a:ext cx="11442700" cy="6896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2175</xdr:row>
      <xdr:rowOff>0</xdr:rowOff>
    </xdr:from>
    <xdr:to>
      <xdr:col>5</xdr:col>
      <xdr:colOff>664048</xdr:colOff>
      <xdr:row>2189</xdr:row>
      <xdr:rowOff>19049</xdr:rowOff>
    </xdr:to>
    <xdr:sp macro="" textlink="">
      <xdr:nvSpPr>
        <xdr:cNvPr id="6205" name="AutoShape 61">
          <a:extLst>
            <a:ext uri="{FF2B5EF4-FFF2-40B4-BE49-F238E27FC236}">
              <a16:creationId xmlns:a16="http://schemas.microsoft.com/office/drawing/2014/main" id="{38ECB5B5-A7AC-E91A-B2A9-9F1F57B4F7A1}"/>
            </a:ext>
          </a:extLst>
        </xdr:cNvPr>
        <xdr:cNvSpPr>
          <a:spLocks noChangeAspect="1" noChangeArrowheads="1"/>
        </xdr:cNvSpPr>
      </xdr:nvSpPr>
      <xdr:spPr bwMode="auto">
        <a:xfrm>
          <a:off x="6832600" y="457657200"/>
          <a:ext cx="2724150" cy="2952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2272</xdr:row>
      <xdr:rowOff>0</xdr:rowOff>
    </xdr:from>
    <xdr:to>
      <xdr:col>27</xdr:col>
      <xdr:colOff>202795</xdr:colOff>
      <xdr:row>2300</xdr:row>
      <xdr:rowOff>114300</xdr:rowOff>
    </xdr:to>
    <xdr:sp macro="" textlink="">
      <xdr:nvSpPr>
        <xdr:cNvPr id="6206" name="AutoShape 62">
          <a:extLst>
            <a:ext uri="{FF2B5EF4-FFF2-40B4-BE49-F238E27FC236}">
              <a16:creationId xmlns:a16="http://schemas.microsoft.com/office/drawing/2014/main" id="{92AAD7E0-18B0-CEA9-1D20-DBA505A281B8}"/>
            </a:ext>
          </a:extLst>
        </xdr:cNvPr>
        <xdr:cNvSpPr>
          <a:spLocks noChangeAspect="1" noChangeArrowheads="1"/>
        </xdr:cNvSpPr>
      </xdr:nvSpPr>
      <xdr:spPr bwMode="auto">
        <a:xfrm>
          <a:off x="6832600" y="482885750"/>
          <a:ext cx="16376650" cy="5981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2363</xdr:row>
      <xdr:rowOff>0</xdr:rowOff>
    </xdr:from>
    <xdr:to>
      <xdr:col>17</xdr:col>
      <xdr:colOff>353573</xdr:colOff>
      <xdr:row>2390</xdr:row>
      <xdr:rowOff>38100</xdr:rowOff>
    </xdr:to>
    <xdr:sp macro="" textlink="">
      <xdr:nvSpPr>
        <xdr:cNvPr id="6207" name="AutoShape 63">
          <a:extLst>
            <a:ext uri="{FF2B5EF4-FFF2-40B4-BE49-F238E27FC236}">
              <a16:creationId xmlns:a16="http://schemas.microsoft.com/office/drawing/2014/main" id="{67EF56AF-37BB-CE4A-220C-011E153D6F48}"/>
            </a:ext>
          </a:extLst>
        </xdr:cNvPr>
        <xdr:cNvSpPr>
          <a:spLocks noChangeAspect="1" noChangeArrowheads="1"/>
        </xdr:cNvSpPr>
      </xdr:nvSpPr>
      <xdr:spPr bwMode="auto">
        <a:xfrm>
          <a:off x="6832600" y="517347200"/>
          <a:ext cx="10433050" cy="5695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2390</xdr:row>
      <xdr:rowOff>0</xdr:rowOff>
    </xdr:from>
    <xdr:to>
      <xdr:col>23</xdr:col>
      <xdr:colOff>321824</xdr:colOff>
      <xdr:row>2422</xdr:row>
      <xdr:rowOff>69849</xdr:rowOff>
    </xdr:to>
    <xdr:sp macro="" textlink="">
      <xdr:nvSpPr>
        <xdr:cNvPr id="6208" name="AutoShape 64">
          <a:extLst>
            <a:ext uri="{FF2B5EF4-FFF2-40B4-BE49-F238E27FC236}">
              <a16:creationId xmlns:a16="http://schemas.microsoft.com/office/drawing/2014/main" id="{123A2011-3B1C-B8A3-58BF-FEF74EF7B326}"/>
            </a:ext>
          </a:extLst>
        </xdr:cNvPr>
        <xdr:cNvSpPr>
          <a:spLocks noChangeAspect="1" noChangeArrowheads="1"/>
        </xdr:cNvSpPr>
      </xdr:nvSpPr>
      <xdr:spPr bwMode="auto">
        <a:xfrm>
          <a:off x="6832600" y="523005050"/>
          <a:ext cx="14058900" cy="6775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2423</xdr:row>
      <xdr:rowOff>0</xdr:rowOff>
    </xdr:from>
    <xdr:to>
      <xdr:col>6</xdr:col>
      <xdr:colOff>865896</xdr:colOff>
      <xdr:row>2446</xdr:row>
      <xdr:rowOff>133350</xdr:rowOff>
    </xdr:to>
    <xdr:sp macro="" textlink="">
      <xdr:nvSpPr>
        <xdr:cNvPr id="6209" name="AutoShape 65">
          <a:extLst>
            <a:ext uri="{FF2B5EF4-FFF2-40B4-BE49-F238E27FC236}">
              <a16:creationId xmlns:a16="http://schemas.microsoft.com/office/drawing/2014/main" id="{244393E9-5769-8C55-EDCD-273E39A63579}"/>
            </a:ext>
          </a:extLst>
        </xdr:cNvPr>
        <xdr:cNvSpPr>
          <a:spLocks noChangeAspect="1" noChangeArrowheads="1"/>
        </xdr:cNvSpPr>
      </xdr:nvSpPr>
      <xdr:spPr bwMode="auto">
        <a:xfrm>
          <a:off x="6832600" y="529920200"/>
          <a:ext cx="3956050" cy="4953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2446</xdr:row>
      <xdr:rowOff>0</xdr:rowOff>
    </xdr:from>
    <xdr:to>
      <xdr:col>13</xdr:col>
      <xdr:colOff>398023</xdr:colOff>
      <xdr:row>2474</xdr:row>
      <xdr:rowOff>107948</xdr:rowOff>
    </xdr:to>
    <xdr:sp macro="" textlink="">
      <xdr:nvSpPr>
        <xdr:cNvPr id="6210" name="AutoShape 66">
          <a:extLst>
            <a:ext uri="{FF2B5EF4-FFF2-40B4-BE49-F238E27FC236}">
              <a16:creationId xmlns:a16="http://schemas.microsoft.com/office/drawing/2014/main" id="{300A1D08-09D0-C98C-78C3-F34CC0B382BC}"/>
            </a:ext>
          </a:extLst>
        </xdr:cNvPr>
        <xdr:cNvSpPr>
          <a:spLocks noChangeAspect="1" noChangeArrowheads="1"/>
        </xdr:cNvSpPr>
      </xdr:nvSpPr>
      <xdr:spPr bwMode="auto">
        <a:xfrm>
          <a:off x="6832600" y="534739850"/>
          <a:ext cx="8039100" cy="5975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2475</xdr:row>
      <xdr:rowOff>0</xdr:rowOff>
    </xdr:from>
    <xdr:to>
      <xdr:col>11</xdr:col>
      <xdr:colOff>582173</xdr:colOff>
      <xdr:row>2507</xdr:row>
      <xdr:rowOff>76199</xdr:rowOff>
    </xdr:to>
    <xdr:sp macro="" textlink="">
      <xdr:nvSpPr>
        <xdr:cNvPr id="6211" name="AutoShape 67">
          <a:extLst>
            <a:ext uri="{FF2B5EF4-FFF2-40B4-BE49-F238E27FC236}">
              <a16:creationId xmlns:a16="http://schemas.microsoft.com/office/drawing/2014/main" id="{23DA95D3-0E29-D374-F39F-36FF14404D0E}"/>
            </a:ext>
          </a:extLst>
        </xdr:cNvPr>
        <xdr:cNvSpPr>
          <a:spLocks noChangeAspect="1" noChangeArrowheads="1"/>
        </xdr:cNvSpPr>
      </xdr:nvSpPr>
      <xdr:spPr bwMode="auto">
        <a:xfrm>
          <a:off x="6832600" y="540816800"/>
          <a:ext cx="7004050" cy="6781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2507</xdr:row>
      <xdr:rowOff>0</xdr:rowOff>
    </xdr:from>
    <xdr:to>
      <xdr:col>6</xdr:col>
      <xdr:colOff>637296</xdr:colOff>
      <xdr:row>2530</xdr:row>
      <xdr:rowOff>1</xdr:rowOff>
    </xdr:to>
    <xdr:sp macro="" textlink="">
      <xdr:nvSpPr>
        <xdr:cNvPr id="6212" name="AutoShape 68">
          <a:extLst>
            <a:ext uri="{FF2B5EF4-FFF2-40B4-BE49-F238E27FC236}">
              <a16:creationId xmlns:a16="http://schemas.microsoft.com/office/drawing/2014/main" id="{75A0CD5A-0D48-A33B-BDD6-1B2B1DFC873A}"/>
            </a:ext>
          </a:extLst>
        </xdr:cNvPr>
        <xdr:cNvSpPr>
          <a:spLocks noChangeAspect="1" noChangeArrowheads="1"/>
        </xdr:cNvSpPr>
      </xdr:nvSpPr>
      <xdr:spPr bwMode="auto">
        <a:xfrm>
          <a:off x="6832600" y="547522400"/>
          <a:ext cx="3727450" cy="4813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2624</xdr:row>
      <xdr:rowOff>0</xdr:rowOff>
    </xdr:from>
    <xdr:to>
      <xdr:col>13</xdr:col>
      <xdr:colOff>512323</xdr:colOff>
      <xdr:row>2649</xdr:row>
      <xdr:rowOff>0</xdr:rowOff>
    </xdr:to>
    <xdr:sp macro="" textlink="">
      <xdr:nvSpPr>
        <xdr:cNvPr id="6213" name="AutoShape 69">
          <a:extLst>
            <a:ext uri="{FF2B5EF4-FFF2-40B4-BE49-F238E27FC236}">
              <a16:creationId xmlns:a16="http://schemas.microsoft.com/office/drawing/2014/main" id="{5A47CF4B-85BC-1EE3-FA2F-2CB1BA91A2E4}"/>
            </a:ext>
          </a:extLst>
        </xdr:cNvPr>
        <xdr:cNvSpPr>
          <a:spLocks noChangeAspect="1" noChangeArrowheads="1"/>
        </xdr:cNvSpPr>
      </xdr:nvSpPr>
      <xdr:spPr bwMode="auto">
        <a:xfrm>
          <a:off x="6832600" y="574313050"/>
          <a:ext cx="8153400" cy="5238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2649</xdr:row>
      <xdr:rowOff>0</xdr:rowOff>
    </xdr:from>
    <xdr:to>
      <xdr:col>15</xdr:col>
      <xdr:colOff>94845</xdr:colOff>
      <xdr:row>2662</xdr:row>
      <xdr:rowOff>133350</xdr:rowOff>
    </xdr:to>
    <xdr:sp macro="" textlink="">
      <xdr:nvSpPr>
        <xdr:cNvPr id="6214" name="AutoShape 70">
          <a:extLst>
            <a:ext uri="{FF2B5EF4-FFF2-40B4-BE49-F238E27FC236}">
              <a16:creationId xmlns:a16="http://schemas.microsoft.com/office/drawing/2014/main" id="{BA3E1493-2047-E1E4-B0D4-C5FEC9AB2AA5}"/>
            </a:ext>
          </a:extLst>
        </xdr:cNvPr>
        <xdr:cNvSpPr>
          <a:spLocks noChangeAspect="1" noChangeArrowheads="1"/>
        </xdr:cNvSpPr>
      </xdr:nvSpPr>
      <xdr:spPr bwMode="auto">
        <a:xfrm>
          <a:off x="6832600" y="579551800"/>
          <a:ext cx="8953500" cy="2857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2663</xdr:row>
      <xdr:rowOff>0</xdr:rowOff>
    </xdr:from>
    <xdr:to>
      <xdr:col>10</xdr:col>
      <xdr:colOff>247244</xdr:colOff>
      <xdr:row>2680</xdr:row>
      <xdr:rowOff>95251</xdr:rowOff>
    </xdr:to>
    <xdr:sp macro="" textlink="">
      <xdr:nvSpPr>
        <xdr:cNvPr id="6215" name="AutoShape 71">
          <a:extLst>
            <a:ext uri="{FF2B5EF4-FFF2-40B4-BE49-F238E27FC236}">
              <a16:creationId xmlns:a16="http://schemas.microsoft.com/office/drawing/2014/main" id="{5A40015A-0A03-9E41-1433-0FAB2A887BE8}"/>
            </a:ext>
          </a:extLst>
        </xdr:cNvPr>
        <xdr:cNvSpPr>
          <a:spLocks noChangeAspect="1" noChangeArrowheads="1"/>
        </xdr:cNvSpPr>
      </xdr:nvSpPr>
      <xdr:spPr bwMode="auto">
        <a:xfrm>
          <a:off x="6832600" y="582485500"/>
          <a:ext cx="6057900" cy="3657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2680</xdr:row>
      <xdr:rowOff>0</xdr:rowOff>
    </xdr:from>
    <xdr:to>
      <xdr:col>12</xdr:col>
      <xdr:colOff>436124</xdr:colOff>
      <xdr:row>2705</xdr:row>
      <xdr:rowOff>190501</xdr:rowOff>
    </xdr:to>
    <xdr:sp macro="" textlink="">
      <xdr:nvSpPr>
        <xdr:cNvPr id="6216" name="AutoShape 72">
          <a:extLst>
            <a:ext uri="{FF2B5EF4-FFF2-40B4-BE49-F238E27FC236}">
              <a16:creationId xmlns:a16="http://schemas.microsoft.com/office/drawing/2014/main" id="{BF7A3090-EDC0-7672-FA2F-F5393F76C907}"/>
            </a:ext>
          </a:extLst>
        </xdr:cNvPr>
        <xdr:cNvSpPr>
          <a:spLocks noChangeAspect="1" noChangeArrowheads="1"/>
        </xdr:cNvSpPr>
      </xdr:nvSpPr>
      <xdr:spPr bwMode="auto">
        <a:xfrm>
          <a:off x="6832600" y="586047850"/>
          <a:ext cx="7467600" cy="54292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2705</xdr:row>
      <xdr:rowOff>0</xdr:rowOff>
    </xdr:from>
    <xdr:to>
      <xdr:col>11</xdr:col>
      <xdr:colOff>247244</xdr:colOff>
      <xdr:row>2731</xdr:row>
      <xdr:rowOff>133349</xdr:rowOff>
    </xdr:to>
    <xdr:sp macro="" textlink="">
      <xdr:nvSpPr>
        <xdr:cNvPr id="6217" name="AutoShape 73">
          <a:extLst>
            <a:ext uri="{FF2B5EF4-FFF2-40B4-BE49-F238E27FC236}">
              <a16:creationId xmlns:a16="http://schemas.microsoft.com/office/drawing/2014/main" id="{6A770B48-3270-A17C-5BF2-6E034D6EF395}"/>
            </a:ext>
          </a:extLst>
        </xdr:cNvPr>
        <xdr:cNvSpPr>
          <a:spLocks noChangeAspect="1" noChangeArrowheads="1"/>
        </xdr:cNvSpPr>
      </xdr:nvSpPr>
      <xdr:spPr bwMode="auto">
        <a:xfrm>
          <a:off x="6832600" y="591286600"/>
          <a:ext cx="6667500" cy="55816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2731</xdr:row>
      <xdr:rowOff>0</xdr:rowOff>
    </xdr:from>
    <xdr:to>
      <xdr:col>12</xdr:col>
      <xdr:colOff>151995</xdr:colOff>
      <xdr:row>2749</xdr:row>
      <xdr:rowOff>127000</xdr:rowOff>
    </xdr:to>
    <xdr:sp macro="" textlink="">
      <xdr:nvSpPr>
        <xdr:cNvPr id="6218" name="AutoShape 74">
          <a:extLst>
            <a:ext uri="{FF2B5EF4-FFF2-40B4-BE49-F238E27FC236}">
              <a16:creationId xmlns:a16="http://schemas.microsoft.com/office/drawing/2014/main" id="{09463C1C-BC3C-311F-D1AB-3089DB4E9023}"/>
            </a:ext>
          </a:extLst>
        </xdr:cNvPr>
        <xdr:cNvSpPr>
          <a:spLocks noChangeAspect="1" noChangeArrowheads="1"/>
        </xdr:cNvSpPr>
      </xdr:nvSpPr>
      <xdr:spPr bwMode="auto">
        <a:xfrm>
          <a:off x="6832600" y="596734900"/>
          <a:ext cx="7181850" cy="3898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2749</xdr:row>
      <xdr:rowOff>0</xdr:rowOff>
    </xdr:from>
    <xdr:to>
      <xdr:col>10</xdr:col>
      <xdr:colOff>75794</xdr:colOff>
      <xdr:row>2769</xdr:row>
      <xdr:rowOff>165100</xdr:rowOff>
    </xdr:to>
    <xdr:sp macro="" textlink="">
      <xdr:nvSpPr>
        <xdr:cNvPr id="6219" name="AutoShape 75">
          <a:extLst>
            <a:ext uri="{FF2B5EF4-FFF2-40B4-BE49-F238E27FC236}">
              <a16:creationId xmlns:a16="http://schemas.microsoft.com/office/drawing/2014/main" id="{078858F0-71A1-6595-4A87-E89C084D7DA6}"/>
            </a:ext>
          </a:extLst>
        </xdr:cNvPr>
        <xdr:cNvSpPr>
          <a:spLocks noChangeAspect="1" noChangeArrowheads="1"/>
        </xdr:cNvSpPr>
      </xdr:nvSpPr>
      <xdr:spPr bwMode="auto">
        <a:xfrm>
          <a:off x="6832600" y="600506800"/>
          <a:ext cx="5886450" cy="4356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2769</xdr:row>
      <xdr:rowOff>0</xdr:rowOff>
    </xdr:from>
    <xdr:to>
      <xdr:col>7</xdr:col>
      <xdr:colOff>359923</xdr:colOff>
      <xdr:row>2792</xdr:row>
      <xdr:rowOff>38101</xdr:rowOff>
    </xdr:to>
    <xdr:sp macro="" textlink="">
      <xdr:nvSpPr>
        <xdr:cNvPr id="6220" name="AutoShape 76">
          <a:extLst>
            <a:ext uri="{FF2B5EF4-FFF2-40B4-BE49-F238E27FC236}">
              <a16:creationId xmlns:a16="http://schemas.microsoft.com/office/drawing/2014/main" id="{B10C8E64-2B4E-D989-0524-4A51AA46598B}"/>
            </a:ext>
          </a:extLst>
        </xdr:cNvPr>
        <xdr:cNvSpPr>
          <a:spLocks noChangeAspect="1" noChangeArrowheads="1"/>
        </xdr:cNvSpPr>
      </xdr:nvSpPr>
      <xdr:spPr bwMode="auto">
        <a:xfrm>
          <a:off x="6832600" y="604697800"/>
          <a:ext cx="4343400" cy="485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2792</xdr:row>
      <xdr:rowOff>0</xdr:rowOff>
    </xdr:from>
    <xdr:to>
      <xdr:col>7</xdr:col>
      <xdr:colOff>340873</xdr:colOff>
      <xdr:row>2816</xdr:row>
      <xdr:rowOff>31750</xdr:rowOff>
    </xdr:to>
    <xdr:sp macro="" textlink="">
      <xdr:nvSpPr>
        <xdr:cNvPr id="6221" name="AutoShape 77">
          <a:extLst>
            <a:ext uri="{FF2B5EF4-FFF2-40B4-BE49-F238E27FC236}">
              <a16:creationId xmlns:a16="http://schemas.microsoft.com/office/drawing/2014/main" id="{0C7D0690-1EC6-EB13-FDD4-9ABF37F9AFC4}"/>
            </a:ext>
          </a:extLst>
        </xdr:cNvPr>
        <xdr:cNvSpPr>
          <a:spLocks noChangeAspect="1" noChangeArrowheads="1"/>
        </xdr:cNvSpPr>
      </xdr:nvSpPr>
      <xdr:spPr bwMode="auto">
        <a:xfrm>
          <a:off x="6832600" y="609517450"/>
          <a:ext cx="4324350" cy="5060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2816</xdr:row>
      <xdr:rowOff>0</xdr:rowOff>
    </xdr:from>
    <xdr:to>
      <xdr:col>7</xdr:col>
      <xdr:colOff>164694</xdr:colOff>
      <xdr:row>2837</xdr:row>
      <xdr:rowOff>126999</xdr:rowOff>
    </xdr:to>
    <xdr:sp macro="" textlink="">
      <xdr:nvSpPr>
        <xdr:cNvPr id="6222" name="AutoShape 78">
          <a:extLst>
            <a:ext uri="{FF2B5EF4-FFF2-40B4-BE49-F238E27FC236}">
              <a16:creationId xmlns:a16="http://schemas.microsoft.com/office/drawing/2014/main" id="{25CB8C68-03D4-8C7B-D191-062B3D729351}"/>
            </a:ext>
          </a:extLst>
        </xdr:cNvPr>
        <xdr:cNvSpPr>
          <a:spLocks noChangeAspect="1" noChangeArrowheads="1"/>
        </xdr:cNvSpPr>
      </xdr:nvSpPr>
      <xdr:spPr bwMode="auto">
        <a:xfrm>
          <a:off x="6832600" y="614546650"/>
          <a:ext cx="4146550" cy="4527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2838</xdr:row>
      <xdr:rowOff>0</xdr:rowOff>
    </xdr:from>
    <xdr:to>
      <xdr:col>12</xdr:col>
      <xdr:colOff>151995</xdr:colOff>
      <xdr:row>2855</xdr:row>
      <xdr:rowOff>19049</xdr:rowOff>
    </xdr:to>
    <xdr:sp macro="" textlink="">
      <xdr:nvSpPr>
        <xdr:cNvPr id="6223" name="AutoShape 79">
          <a:extLst>
            <a:ext uri="{FF2B5EF4-FFF2-40B4-BE49-F238E27FC236}">
              <a16:creationId xmlns:a16="http://schemas.microsoft.com/office/drawing/2014/main" id="{08E708F0-4314-D5A6-CDE5-EEB75B91B783}"/>
            </a:ext>
          </a:extLst>
        </xdr:cNvPr>
        <xdr:cNvSpPr>
          <a:spLocks noChangeAspect="1" noChangeArrowheads="1"/>
        </xdr:cNvSpPr>
      </xdr:nvSpPr>
      <xdr:spPr bwMode="auto">
        <a:xfrm>
          <a:off x="6832600" y="619156750"/>
          <a:ext cx="7181850" cy="3581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2855</xdr:row>
      <xdr:rowOff>0</xdr:rowOff>
    </xdr:from>
    <xdr:to>
      <xdr:col>9</xdr:col>
      <xdr:colOff>353573</xdr:colOff>
      <xdr:row>2878</xdr:row>
      <xdr:rowOff>190502</xdr:rowOff>
    </xdr:to>
    <xdr:sp macro="" textlink="">
      <xdr:nvSpPr>
        <xdr:cNvPr id="6224" name="AutoShape 80">
          <a:extLst>
            <a:ext uri="{FF2B5EF4-FFF2-40B4-BE49-F238E27FC236}">
              <a16:creationId xmlns:a16="http://schemas.microsoft.com/office/drawing/2014/main" id="{B0AE1569-6B6F-26DC-D33B-0D8B0DD56571}"/>
            </a:ext>
          </a:extLst>
        </xdr:cNvPr>
        <xdr:cNvSpPr>
          <a:spLocks noChangeAspect="1" noChangeArrowheads="1"/>
        </xdr:cNvSpPr>
      </xdr:nvSpPr>
      <xdr:spPr bwMode="auto">
        <a:xfrm>
          <a:off x="6832600" y="622719100"/>
          <a:ext cx="5556250" cy="5010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2878</xdr:row>
      <xdr:rowOff>0</xdr:rowOff>
    </xdr:from>
    <xdr:to>
      <xdr:col>9</xdr:col>
      <xdr:colOff>56745</xdr:colOff>
      <xdr:row>2900</xdr:row>
      <xdr:rowOff>57148</xdr:rowOff>
    </xdr:to>
    <xdr:sp macro="" textlink="">
      <xdr:nvSpPr>
        <xdr:cNvPr id="6225" name="AutoShape 81">
          <a:extLst>
            <a:ext uri="{FF2B5EF4-FFF2-40B4-BE49-F238E27FC236}">
              <a16:creationId xmlns:a16="http://schemas.microsoft.com/office/drawing/2014/main" id="{D229A3C4-0E6D-C8CD-A845-649E9FEB146D}"/>
            </a:ext>
          </a:extLst>
        </xdr:cNvPr>
        <xdr:cNvSpPr>
          <a:spLocks noChangeAspect="1" noChangeArrowheads="1"/>
        </xdr:cNvSpPr>
      </xdr:nvSpPr>
      <xdr:spPr bwMode="auto">
        <a:xfrm>
          <a:off x="6832600" y="627538750"/>
          <a:ext cx="5257800" cy="46672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2900</xdr:row>
      <xdr:rowOff>0</xdr:rowOff>
    </xdr:from>
    <xdr:to>
      <xdr:col>8</xdr:col>
      <xdr:colOff>525024</xdr:colOff>
      <xdr:row>2906</xdr:row>
      <xdr:rowOff>171451</xdr:rowOff>
    </xdr:to>
    <xdr:sp macro="" textlink="">
      <xdr:nvSpPr>
        <xdr:cNvPr id="6226" name="AutoShape 82">
          <a:extLst>
            <a:ext uri="{FF2B5EF4-FFF2-40B4-BE49-F238E27FC236}">
              <a16:creationId xmlns:a16="http://schemas.microsoft.com/office/drawing/2014/main" id="{C5F1E1D3-A711-B4DF-C85C-859E33BC6864}"/>
            </a:ext>
          </a:extLst>
        </xdr:cNvPr>
        <xdr:cNvSpPr>
          <a:spLocks noChangeAspect="1" noChangeArrowheads="1"/>
        </xdr:cNvSpPr>
      </xdr:nvSpPr>
      <xdr:spPr bwMode="auto">
        <a:xfrm>
          <a:off x="6832600" y="632148850"/>
          <a:ext cx="5118100" cy="1428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2906</xdr:row>
      <xdr:rowOff>0</xdr:rowOff>
    </xdr:from>
    <xdr:to>
      <xdr:col>12</xdr:col>
      <xdr:colOff>436124</xdr:colOff>
      <xdr:row>2923</xdr:row>
      <xdr:rowOff>184150</xdr:rowOff>
    </xdr:to>
    <xdr:sp macro="" textlink="">
      <xdr:nvSpPr>
        <xdr:cNvPr id="6227" name="AutoShape 83">
          <a:extLst>
            <a:ext uri="{FF2B5EF4-FFF2-40B4-BE49-F238E27FC236}">
              <a16:creationId xmlns:a16="http://schemas.microsoft.com/office/drawing/2014/main" id="{7B3AC252-1438-E4FA-19D1-B01B04AD5000}"/>
            </a:ext>
          </a:extLst>
        </xdr:cNvPr>
        <xdr:cNvSpPr>
          <a:spLocks noChangeAspect="1" noChangeArrowheads="1"/>
        </xdr:cNvSpPr>
      </xdr:nvSpPr>
      <xdr:spPr bwMode="auto">
        <a:xfrm>
          <a:off x="6832600" y="633406150"/>
          <a:ext cx="7467600" cy="3746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2923</xdr:row>
      <xdr:rowOff>0</xdr:rowOff>
    </xdr:from>
    <xdr:to>
      <xdr:col>12</xdr:col>
      <xdr:colOff>436124</xdr:colOff>
      <xdr:row>2942</xdr:row>
      <xdr:rowOff>171450</xdr:rowOff>
    </xdr:to>
    <xdr:sp macro="" textlink="">
      <xdr:nvSpPr>
        <xdr:cNvPr id="6228" name="AutoShape 84">
          <a:extLst>
            <a:ext uri="{FF2B5EF4-FFF2-40B4-BE49-F238E27FC236}">
              <a16:creationId xmlns:a16="http://schemas.microsoft.com/office/drawing/2014/main" id="{02FF810C-D35E-3B26-07CE-C2E775C621DB}"/>
            </a:ext>
          </a:extLst>
        </xdr:cNvPr>
        <xdr:cNvSpPr>
          <a:spLocks noChangeAspect="1" noChangeArrowheads="1"/>
        </xdr:cNvSpPr>
      </xdr:nvSpPr>
      <xdr:spPr bwMode="auto">
        <a:xfrm>
          <a:off x="6832600" y="636968500"/>
          <a:ext cx="7467600" cy="4152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2942</xdr:row>
      <xdr:rowOff>0</xdr:rowOff>
    </xdr:from>
    <xdr:to>
      <xdr:col>12</xdr:col>
      <xdr:colOff>151995</xdr:colOff>
      <xdr:row>2965</xdr:row>
      <xdr:rowOff>165100</xdr:rowOff>
    </xdr:to>
    <xdr:sp macro="" textlink="">
      <xdr:nvSpPr>
        <xdr:cNvPr id="6229" name="AutoShape 85">
          <a:extLst>
            <a:ext uri="{FF2B5EF4-FFF2-40B4-BE49-F238E27FC236}">
              <a16:creationId xmlns:a16="http://schemas.microsoft.com/office/drawing/2014/main" id="{EF46F77A-0DF6-69BB-B910-EA8EAE03B9A3}"/>
            </a:ext>
          </a:extLst>
        </xdr:cNvPr>
        <xdr:cNvSpPr>
          <a:spLocks noChangeAspect="1" noChangeArrowheads="1"/>
        </xdr:cNvSpPr>
      </xdr:nvSpPr>
      <xdr:spPr bwMode="auto">
        <a:xfrm>
          <a:off x="6832600" y="640949950"/>
          <a:ext cx="7181850" cy="4984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3008</xdr:row>
      <xdr:rowOff>0</xdr:rowOff>
    </xdr:from>
    <xdr:to>
      <xdr:col>7</xdr:col>
      <xdr:colOff>164694</xdr:colOff>
      <xdr:row>3029</xdr:row>
      <xdr:rowOff>127000</xdr:rowOff>
    </xdr:to>
    <xdr:sp macro="" textlink="">
      <xdr:nvSpPr>
        <xdr:cNvPr id="6230" name="AutoShape 86">
          <a:extLst>
            <a:ext uri="{FF2B5EF4-FFF2-40B4-BE49-F238E27FC236}">
              <a16:creationId xmlns:a16="http://schemas.microsoft.com/office/drawing/2014/main" id="{20111DD2-F33B-8A48-8D00-BCC906230701}"/>
            </a:ext>
          </a:extLst>
        </xdr:cNvPr>
        <xdr:cNvSpPr>
          <a:spLocks noChangeAspect="1" noChangeArrowheads="1"/>
        </xdr:cNvSpPr>
      </xdr:nvSpPr>
      <xdr:spPr bwMode="auto">
        <a:xfrm>
          <a:off x="6832600" y="654792950"/>
          <a:ext cx="4146550" cy="4527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3029</xdr:row>
      <xdr:rowOff>0</xdr:rowOff>
    </xdr:from>
    <xdr:to>
      <xdr:col>7</xdr:col>
      <xdr:colOff>340873</xdr:colOff>
      <xdr:row>3053</xdr:row>
      <xdr:rowOff>31750</xdr:rowOff>
    </xdr:to>
    <xdr:sp macro="" textlink="">
      <xdr:nvSpPr>
        <xdr:cNvPr id="6231" name="AutoShape 87">
          <a:extLst>
            <a:ext uri="{FF2B5EF4-FFF2-40B4-BE49-F238E27FC236}">
              <a16:creationId xmlns:a16="http://schemas.microsoft.com/office/drawing/2014/main" id="{7784C5B5-5755-9397-650B-204BA2053391}"/>
            </a:ext>
          </a:extLst>
        </xdr:cNvPr>
        <xdr:cNvSpPr>
          <a:spLocks noChangeAspect="1" noChangeArrowheads="1"/>
        </xdr:cNvSpPr>
      </xdr:nvSpPr>
      <xdr:spPr bwMode="auto">
        <a:xfrm>
          <a:off x="6832600" y="659193500"/>
          <a:ext cx="4324350" cy="5060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3053</xdr:row>
      <xdr:rowOff>0</xdr:rowOff>
    </xdr:from>
    <xdr:to>
      <xdr:col>7</xdr:col>
      <xdr:colOff>359923</xdr:colOff>
      <xdr:row>3076</xdr:row>
      <xdr:rowOff>38101</xdr:rowOff>
    </xdr:to>
    <xdr:sp macro="" textlink="">
      <xdr:nvSpPr>
        <xdr:cNvPr id="6232" name="AutoShape 88">
          <a:extLst>
            <a:ext uri="{FF2B5EF4-FFF2-40B4-BE49-F238E27FC236}">
              <a16:creationId xmlns:a16="http://schemas.microsoft.com/office/drawing/2014/main" id="{1B81B9D9-E519-DB4A-A007-0005FEC6A977}"/>
            </a:ext>
          </a:extLst>
        </xdr:cNvPr>
        <xdr:cNvSpPr>
          <a:spLocks noChangeAspect="1" noChangeArrowheads="1"/>
        </xdr:cNvSpPr>
      </xdr:nvSpPr>
      <xdr:spPr bwMode="auto">
        <a:xfrm>
          <a:off x="6832600" y="664222700"/>
          <a:ext cx="4343400" cy="485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3097</xdr:row>
      <xdr:rowOff>0</xdr:rowOff>
    </xdr:from>
    <xdr:to>
      <xdr:col>28</xdr:col>
      <xdr:colOff>171045</xdr:colOff>
      <xdr:row>3135</xdr:row>
      <xdr:rowOff>19049</xdr:rowOff>
    </xdr:to>
    <xdr:sp macro="" textlink="">
      <xdr:nvSpPr>
        <xdr:cNvPr id="6233" name="AutoShape 89">
          <a:extLst>
            <a:ext uri="{FF2B5EF4-FFF2-40B4-BE49-F238E27FC236}">
              <a16:creationId xmlns:a16="http://schemas.microsoft.com/office/drawing/2014/main" id="{72B034FC-F649-FB59-AFE2-C4B46EDB9FD1}"/>
            </a:ext>
          </a:extLst>
        </xdr:cNvPr>
        <xdr:cNvSpPr>
          <a:spLocks noChangeAspect="1" noChangeArrowheads="1"/>
        </xdr:cNvSpPr>
      </xdr:nvSpPr>
      <xdr:spPr bwMode="auto">
        <a:xfrm>
          <a:off x="6832600" y="673442900"/>
          <a:ext cx="16954500" cy="7981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3135</xdr:row>
      <xdr:rowOff>0</xdr:rowOff>
    </xdr:from>
    <xdr:to>
      <xdr:col>28</xdr:col>
      <xdr:colOff>1007</xdr:colOff>
      <xdr:row>3173</xdr:row>
      <xdr:rowOff>190500</xdr:rowOff>
    </xdr:to>
    <xdr:sp macro="" textlink="">
      <xdr:nvSpPr>
        <xdr:cNvPr id="6234" name="AutoShape 90">
          <a:extLst>
            <a:ext uri="{FF2B5EF4-FFF2-40B4-BE49-F238E27FC236}">
              <a16:creationId xmlns:a16="http://schemas.microsoft.com/office/drawing/2014/main" id="{C2EC6260-B132-6B85-0807-4498183009BD}"/>
            </a:ext>
          </a:extLst>
        </xdr:cNvPr>
        <xdr:cNvSpPr>
          <a:spLocks noChangeAspect="1" noChangeArrowheads="1"/>
        </xdr:cNvSpPr>
      </xdr:nvSpPr>
      <xdr:spPr bwMode="auto">
        <a:xfrm>
          <a:off x="6832600" y="681405800"/>
          <a:ext cx="16783050" cy="8153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3173</xdr:row>
      <xdr:rowOff>0</xdr:rowOff>
    </xdr:from>
    <xdr:to>
      <xdr:col>25</xdr:col>
      <xdr:colOff>221844</xdr:colOff>
      <xdr:row>3212</xdr:row>
      <xdr:rowOff>38099</xdr:rowOff>
    </xdr:to>
    <xdr:sp macro="" textlink="">
      <xdr:nvSpPr>
        <xdr:cNvPr id="6235" name="AutoShape 91">
          <a:extLst>
            <a:ext uri="{FF2B5EF4-FFF2-40B4-BE49-F238E27FC236}">
              <a16:creationId xmlns:a16="http://schemas.microsoft.com/office/drawing/2014/main" id="{4CD7978B-F40E-6ED3-D164-4B58B84F2C36}"/>
            </a:ext>
          </a:extLst>
        </xdr:cNvPr>
        <xdr:cNvSpPr>
          <a:spLocks noChangeAspect="1" noChangeArrowheads="1"/>
        </xdr:cNvSpPr>
      </xdr:nvSpPr>
      <xdr:spPr bwMode="auto">
        <a:xfrm>
          <a:off x="6832600" y="689368700"/>
          <a:ext cx="15176500" cy="8210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3212</xdr:row>
      <xdr:rowOff>0</xdr:rowOff>
    </xdr:from>
    <xdr:to>
      <xdr:col>26</xdr:col>
      <xdr:colOff>107545</xdr:colOff>
      <xdr:row>3251</xdr:row>
      <xdr:rowOff>114301</xdr:rowOff>
    </xdr:to>
    <xdr:sp macro="" textlink="">
      <xdr:nvSpPr>
        <xdr:cNvPr id="6236" name="AutoShape 92">
          <a:extLst>
            <a:ext uri="{FF2B5EF4-FFF2-40B4-BE49-F238E27FC236}">
              <a16:creationId xmlns:a16="http://schemas.microsoft.com/office/drawing/2014/main" id="{FDE6ED1B-7EBB-B445-1FD6-C4A8C269682F}"/>
            </a:ext>
          </a:extLst>
        </xdr:cNvPr>
        <xdr:cNvSpPr>
          <a:spLocks noChangeAspect="1" noChangeArrowheads="1"/>
        </xdr:cNvSpPr>
      </xdr:nvSpPr>
      <xdr:spPr bwMode="auto">
        <a:xfrm>
          <a:off x="6832600" y="697541150"/>
          <a:ext cx="15671800" cy="8286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3251</xdr:row>
      <xdr:rowOff>0</xdr:rowOff>
    </xdr:from>
    <xdr:to>
      <xdr:col>26</xdr:col>
      <xdr:colOff>563124</xdr:colOff>
      <xdr:row>3290</xdr:row>
      <xdr:rowOff>152400</xdr:rowOff>
    </xdr:to>
    <xdr:sp macro="" textlink="">
      <xdr:nvSpPr>
        <xdr:cNvPr id="6237" name="AutoShape 93">
          <a:extLst>
            <a:ext uri="{FF2B5EF4-FFF2-40B4-BE49-F238E27FC236}">
              <a16:creationId xmlns:a16="http://schemas.microsoft.com/office/drawing/2014/main" id="{810CF184-EBCF-AC3E-A06E-8687891059DD}"/>
            </a:ext>
          </a:extLst>
        </xdr:cNvPr>
        <xdr:cNvSpPr>
          <a:spLocks noChangeAspect="1" noChangeArrowheads="1"/>
        </xdr:cNvSpPr>
      </xdr:nvSpPr>
      <xdr:spPr bwMode="auto">
        <a:xfrm>
          <a:off x="6832600" y="705713600"/>
          <a:ext cx="16129000" cy="8324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3290</xdr:row>
      <xdr:rowOff>0</xdr:rowOff>
    </xdr:from>
    <xdr:to>
      <xdr:col>26</xdr:col>
      <xdr:colOff>417074</xdr:colOff>
      <xdr:row>3329</xdr:row>
      <xdr:rowOff>12700</xdr:rowOff>
    </xdr:to>
    <xdr:sp macro="" textlink="">
      <xdr:nvSpPr>
        <xdr:cNvPr id="6238" name="AutoShape 94">
          <a:extLst>
            <a:ext uri="{FF2B5EF4-FFF2-40B4-BE49-F238E27FC236}">
              <a16:creationId xmlns:a16="http://schemas.microsoft.com/office/drawing/2014/main" id="{67236E2B-1BCC-98F9-C95B-EB377586A135}"/>
            </a:ext>
          </a:extLst>
        </xdr:cNvPr>
        <xdr:cNvSpPr>
          <a:spLocks noChangeAspect="1" noChangeArrowheads="1"/>
        </xdr:cNvSpPr>
      </xdr:nvSpPr>
      <xdr:spPr bwMode="auto">
        <a:xfrm>
          <a:off x="6832600" y="713886050"/>
          <a:ext cx="15982950" cy="8185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3329</xdr:row>
      <xdr:rowOff>0</xdr:rowOff>
    </xdr:from>
    <xdr:to>
      <xdr:col>26</xdr:col>
      <xdr:colOff>321824</xdr:colOff>
      <xdr:row>3367</xdr:row>
      <xdr:rowOff>152401</xdr:rowOff>
    </xdr:to>
    <xdr:sp macro="" textlink="">
      <xdr:nvSpPr>
        <xdr:cNvPr id="6239" name="AutoShape 95">
          <a:extLst>
            <a:ext uri="{FF2B5EF4-FFF2-40B4-BE49-F238E27FC236}">
              <a16:creationId xmlns:a16="http://schemas.microsoft.com/office/drawing/2014/main" id="{0B6C67ED-8B98-B364-BF6F-AC2F562A98B9}"/>
            </a:ext>
          </a:extLst>
        </xdr:cNvPr>
        <xdr:cNvSpPr>
          <a:spLocks noChangeAspect="1" noChangeArrowheads="1"/>
        </xdr:cNvSpPr>
      </xdr:nvSpPr>
      <xdr:spPr bwMode="auto">
        <a:xfrm>
          <a:off x="6832600" y="722058500"/>
          <a:ext cx="15887700" cy="8115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3368</xdr:row>
      <xdr:rowOff>0</xdr:rowOff>
    </xdr:from>
    <xdr:to>
      <xdr:col>7</xdr:col>
      <xdr:colOff>164694</xdr:colOff>
      <xdr:row>3389</xdr:row>
      <xdr:rowOff>127000</xdr:rowOff>
    </xdr:to>
    <xdr:sp macro="" textlink="">
      <xdr:nvSpPr>
        <xdr:cNvPr id="6240" name="AutoShape 96">
          <a:extLst>
            <a:ext uri="{FF2B5EF4-FFF2-40B4-BE49-F238E27FC236}">
              <a16:creationId xmlns:a16="http://schemas.microsoft.com/office/drawing/2014/main" id="{90489794-59E4-4D1E-4F94-33B9FCC156E5}"/>
            </a:ext>
          </a:extLst>
        </xdr:cNvPr>
        <xdr:cNvSpPr>
          <a:spLocks noChangeAspect="1" noChangeArrowheads="1"/>
        </xdr:cNvSpPr>
      </xdr:nvSpPr>
      <xdr:spPr bwMode="auto">
        <a:xfrm>
          <a:off x="6832600" y="730230950"/>
          <a:ext cx="4146550" cy="4527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3389</xdr:row>
      <xdr:rowOff>0</xdr:rowOff>
    </xdr:from>
    <xdr:to>
      <xdr:col>7</xdr:col>
      <xdr:colOff>340873</xdr:colOff>
      <xdr:row>3413</xdr:row>
      <xdr:rowOff>31750</xdr:rowOff>
    </xdr:to>
    <xdr:sp macro="" textlink="">
      <xdr:nvSpPr>
        <xdr:cNvPr id="6241" name="AutoShape 97">
          <a:extLst>
            <a:ext uri="{FF2B5EF4-FFF2-40B4-BE49-F238E27FC236}">
              <a16:creationId xmlns:a16="http://schemas.microsoft.com/office/drawing/2014/main" id="{660F1245-66E3-1AAD-3534-4C2F54CDA404}"/>
            </a:ext>
          </a:extLst>
        </xdr:cNvPr>
        <xdr:cNvSpPr>
          <a:spLocks noChangeAspect="1" noChangeArrowheads="1"/>
        </xdr:cNvSpPr>
      </xdr:nvSpPr>
      <xdr:spPr bwMode="auto">
        <a:xfrm>
          <a:off x="6832600" y="734631500"/>
          <a:ext cx="4324350" cy="5060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3413</xdr:row>
      <xdr:rowOff>0</xdr:rowOff>
    </xdr:from>
    <xdr:to>
      <xdr:col>7</xdr:col>
      <xdr:colOff>359923</xdr:colOff>
      <xdr:row>3436</xdr:row>
      <xdr:rowOff>38101</xdr:rowOff>
    </xdr:to>
    <xdr:sp macro="" textlink="">
      <xdr:nvSpPr>
        <xdr:cNvPr id="6242" name="AutoShape 98">
          <a:extLst>
            <a:ext uri="{FF2B5EF4-FFF2-40B4-BE49-F238E27FC236}">
              <a16:creationId xmlns:a16="http://schemas.microsoft.com/office/drawing/2014/main" id="{E583F441-17E5-0BBF-D5F8-093FCA4B400B}"/>
            </a:ext>
          </a:extLst>
        </xdr:cNvPr>
        <xdr:cNvSpPr>
          <a:spLocks noChangeAspect="1" noChangeArrowheads="1"/>
        </xdr:cNvSpPr>
      </xdr:nvSpPr>
      <xdr:spPr bwMode="auto">
        <a:xfrm>
          <a:off x="6832600" y="739660700"/>
          <a:ext cx="4343400" cy="485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12391</xdr:colOff>
      <xdr:row>2</xdr:row>
      <xdr:rowOff>104847</xdr:rowOff>
    </xdr:from>
    <xdr:to>
      <xdr:col>2</xdr:col>
      <xdr:colOff>0</xdr:colOff>
      <xdr:row>4</xdr:row>
      <xdr:rowOff>103461</xdr:rowOff>
    </xdr:to>
    <xdr:sp macro="" textlink="Historical_IS!B2">
      <xdr:nvSpPr>
        <xdr:cNvPr id="5" name="TextBox 4">
          <a:extLst>
            <a:ext uri="{FF2B5EF4-FFF2-40B4-BE49-F238E27FC236}">
              <a16:creationId xmlns:a16="http://schemas.microsoft.com/office/drawing/2014/main" id="{B1A691AC-9D97-5C8B-97E0-E46F4D9764E9}"/>
            </a:ext>
          </a:extLst>
        </xdr:cNvPr>
        <xdr:cNvSpPr txBox="1"/>
      </xdr:nvSpPr>
      <xdr:spPr>
        <a:xfrm>
          <a:off x="12391" y="545114"/>
          <a:ext cx="1206809" cy="405014"/>
        </a:xfrm>
        <a:prstGeom prst="rect">
          <a:avLst/>
        </a:prstGeom>
        <a:solidFill>
          <a:schemeClr val="accent5">
            <a:lumMod val="20000"/>
            <a:lumOff val="80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B6C86C-5CF1-4FDF-8901-20BB85E06ED0}" type="TxLink">
            <a:rPr lang="en-US" sz="1800" b="1" i="0" u="none" strike="noStrike">
              <a:solidFill>
                <a:srgbClr val="002060"/>
              </a:solidFill>
              <a:latin typeface="Times New Roman" panose="02020603050405020304" pitchFamily="18" charset="0"/>
              <a:cs typeface="Times New Roman" panose="02020603050405020304" pitchFamily="18" charset="0"/>
            </a:rPr>
            <a:pPr algn="ctr"/>
            <a:t>2,67,021</a:t>
          </a:fld>
          <a:endParaRPr lang="en-IN" sz="18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0</xdr:row>
      <xdr:rowOff>4552</xdr:rowOff>
    </xdr:from>
    <xdr:to>
      <xdr:col>19</xdr:col>
      <xdr:colOff>269875</xdr:colOff>
      <xdr:row>1</xdr:row>
      <xdr:rowOff>237066</xdr:rowOff>
    </xdr:to>
    <xdr:sp macro="" textlink="">
      <xdr:nvSpPr>
        <xdr:cNvPr id="6" name="TextBox 5">
          <a:extLst>
            <a:ext uri="{FF2B5EF4-FFF2-40B4-BE49-F238E27FC236}">
              <a16:creationId xmlns:a16="http://schemas.microsoft.com/office/drawing/2014/main" id="{74252252-6278-187B-366C-1D7B3D782EF5}"/>
            </a:ext>
          </a:extLst>
        </xdr:cNvPr>
        <xdr:cNvSpPr txBox="1"/>
      </xdr:nvSpPr>
      <xdr:spPr>
        <a:xfrm>
          <a:off x="0" y="4552"/>
          <a:ext cx="11832167" cy="417722"/>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Times New Roman" panose="02020603050405020304" pitchFamily="18" charset="0"/>
              <a:cs typeface="Times New Roman" panose="02020603050405020304" pitchFamily="18" charset="0"/>
            </a:rPr>
            <a:t>TCS FINANCIAL ANALYSIS DASHBOARD</a:t>
          </a:r>
        </a:p>
      </xdr:txBody>
    </xdr:sp>
    <xdr:clientData/>
  </xdr:twoCellAnchor>
  <xdr:twoCellAnchor>
    <xdr:from>
      <xdr:col>0</xdr:col>
      <xdr:colOff>14114</xdr:colOff>
      <xdr:row>4</xdr:row>
      <xdr:rowOff>103461</xdr:rowOff>
    </xdr:from>
    <xdr:to>
      <xdr:col>2</xdr:col>
      <xdr:colOff>1723</xdr:colOff>
      <xdr:row>5</xdr:row>
      <xdr:rowOff>121399</xdr:rowOff>
    </xdr:to>
    <xdr:sp macro="" textlink="Historical_IS!B2">
      <xdr:nvSpPr>
        <xdr:cNvPr id="12" name="TextBox 11">
          <a:extLst>
            <a:ext uri="{FF2B5EF4-FFF2-40B4-BE49-F238E27FC236}">
              <a16:creationId xmlns:a16="http://schemas.microsoft.com/office/drawing/2014/main" id="{5E0B70EB-B318-408A-B144-E60DFE04CE7B}"/>
            </a:ext>
          </a:extLst>
        </xdr:cNvPr>
        <xdr:cNvSpPr txBox="1"/>
      </xdr:nvSpPr>
      <xdr:spPr>
        <a:xfrm>
          <a:off x="14114" y="950128"/>
          <a:ext cx="1206809" cy="238071"/>
        </a:xfrm>
        <a:prstGeom prst="rect">
          <a:avLst/>
        </a:prstGeom>
        <a:solidFill>
          <a:schemeClr val="accent1">
            <a:lumMod val="75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latin typeface="Times New Roman" panose="02020603050405020304" pitchFamily="18" charset="0"/>
              <a:cs typeface="Times New Roman" panose="02020603050405020304" pitchFamily="18" charset="0"/>
            </a:rPr>
            <a:t>Revenue</a:t>
          </a:r>
        </a:p>
      </xdr:txBody>
    </xdr:sp>
    <xdr:clientData/>
  </xdr:twoCellAnchor>
  <xdr:twoCellAnchor>
    <xdr:from>
      <xdr:col>7</xdr:col>
      <xdr:colOff>329741</xdr:colOff>
      <xdr:row>2</xdr:row>
      <xdr:rowOff>106567</xdr:rowOff>
    </xdr:from>
    <xdr:to>
      <xdr:col>9</xdr:col>
      <xdr:colOff>318696</xdr:colOff>
      <xdr:row>4</xdr:row>
      <xdr:rowOff>105181</xdr:rowOff>
    </xdr:to>
    <xdr:sp macro="" textlink="'Ratio analysis'!C43">
      <xdr:nvSpPr>
        <xdr:cNvPr id="27" name="TextBox 26">
          <a:extLst>
            <a:ext uri="{FF2B5EF4-FFF2-40B4-BE49-F238E27FC236}">
              <a16:creationId xmlns:a16="http://schemas.microsoft.com/office/drawing/2014/main" id="{0BC51AB0-02AB-4084-8070-8CD5ACE5DE5A}"/>
            </a:ext>
          </a:extLst>
        </xdr:cNvPr>
        <xdr:cNvSpPr txBox="1"/>
      </xdr:nvSpPr>
      <xdr:spPr>
        <a:xfrm>
          <a:off x="4596941" y="546834"/>
          <a:ext cx="1208155" cy="405014"/>
        </a:xfrm>
        <a:prstGeom prst="rect">
          <a:avLst/>
        </a:prstGeom>
        <a:solidFill>
          <a:schemeClr val="accent5">
            <a:lumMod val="20000"/>
            <a:lumOff val="80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4E89D5-AC13-4DB2-B307-FBA67094CACF}" type="TxLink">
            <a:rPr lang="en-US" sz="1800" b="1" i="0" u="none" strike="noStrike">
              <a:solidFill>
                <a:srgbClr val="002060"/>
              </a:solidFill>
              <a:latin typeface="Times New Roman" panose="02020603050405020304" pitchFamily="18" charset="0"/>
              <a:cs typeface="Times New Roman" panose="02020603050405020304" pitchFamily="18" charset="0"/>
            </a:rPr>
            <a:pPr algn="ctr"/>
            <a:t>0.586</a:t>
          </a:fld>
          <a:endParaRPr lang="en-IN" sz="18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327876</xdr:colOff>
      <xdr:row>4</xdr:row>
      <xdr:rowOff>105181</xdr:rowOff>
    </xdr:from>
    <xdr:to>
      <xdr:col>9</xdr:col>
      <xdr:colOff>316831</xdr:colOff>
      <xdr:row>5</xdr:row>
      <xdr:rowOff>123119</xdr:rowOff>
    </xdr:to>
    <xdr:sp macro="" textlink="Historical_IS!B2">
      <xdr:nvSpPr>
        <xdr:cNvPr id="28" name="TextBox 27">
          <a:extLst>
            <a:ext uri="{FF2B5EF4-FFF2-40B4-BE49-F238E27FC236}">
              <a16:creationId xmlns:a16="http://schemas.microsoft.com/office/drawing/2014/main" id="{EE5A709E-DD1A-46FC-A484-DA43DF9FFD42}"/>
            </a:ext>
          </a:extLst>
        </xdr:cNvPr>
        <xdr:cNvSpPr txBox="1"/>
      </xdr:nvSpPr>
      <xdr:spPr>
        <a:xfrm>
          <a:off x="4595076" y="951848"/>
          <a:ext cx="1208155" cy="238071"/>
        </a:xfrm>
        <a:prstGeom prst="rect">
          <a:avLst/>
        </a:prstGeom>
        <a:solidFill>
          <a:schemeClr val="accent1">
            <a:lumMod val="75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latin typeface="Times New Roman" panose="02020603050405020304" pitchFamily="18" charset="0"/>
              <a:cs typeface="Times New Roman" panose="02020603050405020304" pitchFamily="18" charset="0"/>
            </a:rPr>
            <a:t>ROCE</a:t>
          </a:r>
        </a:p>
      </xdr:txBody>
    </xdr:sp>
    <xdr:clientData/>
  </xdr:twoCellAnchor>
  <xdr:twoCellAnchor>
    <xdr:from>
      <xdr:col>2</xdr:col>
      <xdr:colOff>305366</xdr:colOff>
      <xdr:row>2</xdr:row>
      <xdr:rowOff>110151</xdr:rowOff>
    </xdr:from>
    <xdr:to>
      <xdr:col>4</xdr:col>
      <xdr:colOff>292975</xdr:colOff>
      <xdr:row>4</xdr:row>
      <xdr:rowOff>108765</xdr:rowOff>
    </xdr:to>
    <xdr:sp macro="" textlink="Historical_IS!B8">
      <xdr:nvSpPr>
        <xdr:cNvPr id="29" name="TextBox 28">
          <a:extLst>
            <a:ext uri="{FF2B5EF4-FFF2-40B4-BE49-F238E27FC236}">
              <a16:creationId xmlns:a16="http://schemas.microsoft.com/office/drawing/2014/main" id="{B1CCCDC3-C83C-4BF6-8E54-51CDB9F0F23A}"/>
            </a:ext>
          </a:extLst>
        </xdr:cNvPr>
        <xdr:cNvSpPr txBox="1"/>
      </xdr:nvSpPr>
      <xdr:spPr>
        <a:xfrm>
          <a:off x="1524566" y="550418"/>
          <a:ext cx="1206809" cy="405014"/>
        </a:xfrm>
        <a:prstGeom prst="rect">
          <a:avLst/>
        </a:prstGeom>
        <a:solidFill>
          <a:schemeClr val="accent5">
            <a:lumMod val="20000"/>
            <a:lumOff val="80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941C18-43E4-4066-A59F-B9CE3B5A0246}" type="TxLink">
            <a:rPr lang="en-US" sz="1800" b="1" i="0" u="none" strike="noStrike">
              <a:solidFill>
                <a:srgbClr val="002060"/>
              </a:solidFill>
              <a:latin typeface="Times New Roman" panose="02020603050405020304" pitchFamily="18" charset="0"/>
              <a:cs typeface="Times New Roman" panose="02020603050405020304" pitchFamily="18" charset="0"/>
            </a:rPr>
            <a:pPr algn="ctr"/>
            <a:t>52,820</a:t>
          </a:fld>
          <a:endParaRPr lang="en-IN" sz="18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307089</xdr:colOff>
      <xdr:row>4</xdr:row>
      <xdr:rowOff>108765</xdr:rowOff>
    </xdr:from>
    <xdr:to>
      <xdr:col>4</xdr:col>
      <xdr:colOff>294698</xdr:colOff>
      <xdr:row>5</xdr:row>
      <xdr:rowOff>120353</xdr:rowOff>
    </xdr:to>
    <xdr:sp macro="" textlink="Historical_IS!B2">
      <xdr:nvSpPr>
        <xdr:cNvPr id="30" name="TextBox 29">
          <a:extLst>
            <a:ext uri="{FF2B5EF4-FFF2-40B4-BE49-F238E27FC236}">
              <a16:creationId xmlns:a16="http://schemas.microsoft.com/office/drawing/2014/main" id="{575B71E8-C253-488B-855F-6FE6356ED0CC}"/>
            </a:ext>
          </a:extLst>
        </xdr:cNvPr>
        <xdr:cNvSpPr txBox="1"/>
      </xdr:nvSpPr>
      <xdr:spPr>
        <a:xfrm>
          <a:off x="1526289" y="955432"/>
          <a:ext cx="1206809" cy="231721"/>
        </a:xfrm>
        <a:prstGeom prst="rect">
          <a:avLst/>
        </a:prstGeom>
        <a:solidFill>
          <a:schemeClr val="accent1">
            <a:lumMod val="75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latin typeface="Times New Roman" panose="02020603050405020304" pitchFamily="18" charset="0"/>
              <a:cs typeface="Times New Roman" panose="02020603050405020304" pitchFamily="18" charset="0"/>
            </a:rPr>
            <a:t>PAT</a:t>
          </a:r>
        </a:p>
      </xdr:txBody>
    </xdr:sp>
    <xdr:clientData/>
  </xdr:twoCellAnchor>
  <xdr:twoCellAnchor>
    <xdr:from>
      <xdr:col>5</xdr:col>
      <xdr:colOff>9041</xdr:colOff>
      <xdr:row>2</xdr:row>
      <xdr:rowOff>111863</xdr:rowOff>
    </xdr:from>
    <xdr:to>
      <xdr:col>6</xdr:col>
      <xdr:colOff>605192</xdr:colOff>
      <xdr:row>4</xdr:row>
      <xdr:rowOff>110477</xdr:rowOff>
    </xdr:to>
    <xdr:sp macro="" textlink="">
      <xdr:nvSpPr>
        <xdr:cNvPr id="31" name="TextBox 30">
          <a:extLst>
            <a:ext uri="{FF2B5EF4-FFF2-40B4-BE49-F238E27FC236}">
              <a16:creationId xmlns:a16="http://schemas.microsoft.com/office/drawing/2014/main" id="{E237BB19-53D9-4092-8705-809E4F2E5B90}"/>
            </a:ext>
          </a:extLst>
        </xdr:cNvPr>
        <xdr:cNvSpPr txBox="1"/>
      </xdr:nvSpPr>
      <xdr:spPr>
        <a:xfrm>
          <a:off x="3057041" y="552130"/>
          <a:ext cx="1205751" cy="405014"/>
        </a:xfrm>
        <a:prstGeom prst="rect">
          <a:avLst/>
        </a:prstGeom>
        <a:solidFill>
          <a:schemeClr val="accent5">
            <a:lumMod val="20000"/>
            <a:lumOff val="80000"/>
          </a:schemeClr>
        </a:solidFill>
        <a:ln w="34925" cmpd="sng">
          <a:solidFill>
            <a:srgbClr val="002060"/>
          </a:solidFill>
        </a:ln>
        <a:effectLst>
          <a:innerShdw blurRad="190500">
            <a:schemeClr val="bg1">
              <a:alpha val="1000"/>
            </a:schemeClr>
          </a:inn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Times New Roman" panose="02020603050405020304" pitchFamily="18" charset="0"/>
              <a:cs typeface="Times New Roman" panose="02020603050405020304" pitchFamily="18" charset="0"/>
            </a:rPr>
            <a:t>0.517</a:t>
          </a:r>
        </a:p>
      </xdr:txBody>
    </xdr:sp>
    <xdr:clientData/>
  </xdr:twoCellAnchor>
  <xdr:twoCellAnchor>
    <xdr:from>
      <xdr:col>5</xdr:col>
      <xdr:colOff>10764</xdr:colOff>
      <xdr:row>4</xdr:row>
      <xdr:rowOff>110477</xdr:rowOff>
    </xdr:from>
    <xdr:to>
      <xdr:col>6</xdr:col>
      <xdr:colOff>606915</xdr:colOff>
      <xdr:row>5</xdr:row>
      <xdr:rowOff>128415</xdr:rowOff>
    </xdr:to>
    <xdr:sp macro="" textlink="Historical_IS!B2">
      <xdr:nvSpPr>
        <xdr:cNvPr id="32" name="TextBox 31">
          <a:extLst>
            <a:ext uri="{FF2B5EF4-FFF2-40B4-BE49-F238E27FC236}">
              <a16:creationId xmlns:a16="http://schemas.microsoft.com/office/drawing/2014/main" id="{6340A54A-52BF-426C-994D-F52BAD85E1D6}"/>
            </a:ext>
          </a:extLst>
        </xdr:cNvPr>
        <xdr:cNvSpPr txBox="1"/>
      </xdr:nvSpPr>
      <xdr:spPr>
        <a:xfrm>
          <a:off x="3058764" y="957144"/>
          <a:ext cx="1205751" cy="238071"/>
        </a:xfrm>
        <a:prstGeom prst="rect">
          <a:avLst/>
        </a:prstGeom>
        <a:solidFill>
          <a:schemeClr val="accent1">
            <a:lumMod val="75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latin typeface="Times New Roman" panose="02020603050405020304" pitchFamily="18" charset="0"/>
              <a:cs typeface="Times New Roman" panose="02020603050405020304" pitchFamily="18" charset="0"/>
            </a:rPr>
            <a:t>ROE</a:t>
          </a:r>
        </a:p>
      </xdr:txBody>
    </xdr:sp>
    <xdr:clientData/>
  </xdr:twoCellAnchor>
  <xdr:twoCellAnchor>
    <xdr:from>
      <xdr:col>10</xdr:col>
      <xdr:colOff>24718</xdr:colOff>
      <xdr:row>2</xdr:row>
      <xdr:rowOff>111333</xdr:rowOff>
    </xdr:from>
    <xdr:to>
      <xdr:col>12</xdr:col>
      <xdr:colOff>12327</xdr:colOff>
      <xdr:row>4</xdr:row>
      <xdr:rowOff>103598</xdr:rowOff>
    </xdr:to>
    <xdr:sp macro="" textlink="'Ratio analysis'!C6">
      <xdr:nvSpPr>
        <xdr:cNvPr id="33" name="TextBox 32">
          <a:extLst>
            <a:ext uri="{FF2B5EF4-FFF2-40B4-BE49-F238E27FC236}">
              <a16:creationId xmlns:a16="http://schemas.microsoft.com/office/drawing/2014/main" id="{105521CE-2EC6-4AB1-BAC1-831F800C1C5E}"/>
            </a:ext>
          </a:extLst>
        </xdr:cNvPr>
        <xdr:cNvSpPr txBox="1"/>
      </xdr:nvSpPr>
      <xdr:spPr>
        <a:xfrm>
          <a:off x="6120718" y="551600"/>
          <a:ext cx="1206809" cy="398665"/>
        </a:xfrm>
        <a:prstGeom prst="rect">
          <a:avLst/>
        </a:prstGeom>
        <a:solidFill>
          <a:schemeClr val="accent5">
            <a:lumMod val="20000"/>
            <a:lumOff val="80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0CBAB7-6F8E-446A-9E52-7ED4185402A1}" type="TxLink">
            <a:rPr lang="en-US" sz="1800" b="1" i="0" u="none" strike="noStrike">
              <a:solidFill>
                <a:srgbClr val="002060"/>
              </a:solidFill>
              <a:latin typeface="Times New Roman" panose="02020603050405020304" pitchFamily="18" charset="0"/>
              <a:cs typeface="Times New Roman" panose="02020603050405020304" pitchFamily="18" charset="0"/>
            </a:rPr>
            <a:pPr algn="ctr"/>
            <a:t>25.03%</a:t>
          </a:fld>
          <a:endParaRPr lang="en-IN" sz="18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26441</xdr:colOff>
      <xdr:row>4</xdr:row>
      <xdr:rowOff>103598</xdr:rowOff>
    </xdr:from>
    <xdr:to>
      <xdr:col>12</xdr:col>
      <xdr:colOff>14050</xdr:colOff>
      <xdr:row>5</xdr:row>
      <xdr:rowOff>127885</xdr:rowOff>
    </xdr:to>
    <xdr:sp macro="" textlink="Historical_IS!B2">
      <xdr:nvSpPr>
        <xdr:cNvPr id="34" name="TextBox 33">
          <a:extLst>
            <a:ext uri="{FF2B5EF4-FFF2-40B4-BE49-F238E27FC236}">
              <a16:creationId xmlns:a16="http://schemas.microsoft.com/office/drawing/2014/main" id="{9E40B401-C300-47BF-9A80-DFCD0BB1AC31}"/>
            </a:ext>
          </a:extLst>
        </xdr:cNvPr>
        <xdr:cNvSpPr txBox="1"/>
      </xdr:nvSpPr>
      <xdr:spPr>
        <a:xfrm>
          <a:off x="6122441" y="950265"/>
          <a:ext cx="1206809" cy="244420"/>
        </a:xfrm>
        <a:prstGeom prst="rect">
          <a:avLst/>
        </a:prstGeom>
        <a:solidFill>
          <a:schemeClr val="accent1">
            <a:lumMod val="75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latin typeface="Times New Roman" panose="02020603050405020304" pitchFamily="18" charset="0"/>
              <a:cs typeface="Times New Roman" panose="02020603050405020304" pitchFamily="18" charset="0"/>
            </a:rPr>
            <a:t>EBIT</a:t>
          </a:r>
          <a:r>
            <a:rPr lang="en-IN" sz="1300" b="1" baseline="0">
              <a:solidFill>
                <a:schemeClr val="bg1"/>
              </a:solidFill>
              <a:latin typeface="Times New Roman" panose="02020603050405020304" pitchFamily="18" charset="0"/>
              <a:cs typeface="Times New Roman" panose="02020603050405020304" pitchFamily="18" charset="0"/>
            </a:rPr>
            <a:t> Margin</a:t>
          </a:r>
          <a:endParaRPr lang="en-IN" sz="13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305027</xdr:colOff>
      <xdr:row>2</xdr:row>
      <xdr:rowOff>113053</xdr:rowOff>
    </xdr:from>
    <xdr:to>
      <xdr:col>19</xdr:col>
      <xdr:colOff>262231</xdr:colOff>
      <xdr:row>4</xdr:row>
      <xdr:rowOff>111668</xdr:rowOff>
    </xdr:to>
    <xdr:sp macro="" textlink="Historical_IS!B9">
      <xdr:nvSpPr>
        <xdr:cNvPr id="35" name="TextBox 34">
          <a:extLst>
            <a:ext uri="{FF2B5EF4-FFF2-40B4-BE49-F238E27FC236}">
              <a16:creationId xmlns:a16="http://schemas.microsoft.com/office/drawing/2014/main" id="{CEC0D99F-150A-45E1-A1FF-1BBF299C0AEE}"/>
            </a:ext>
          </a:extLst>
        </xdr:cNvPr>
        <xdr:cNvSpPr txBox="1"/>
      </xdr:nvSpPr>
      <xdr:spPr>
        <a:xfrm>
          <a:off x="10668227" y="553320"/>
          <a:ext cx="1176404" cy="405015"/>
        </a:xfrm>
        <a:prstGeom prst="rect">
          <a:avLst/>
        </a:prstGeom>
        <a:solidFill>
          <a:schemeClr val="accent5">
            <a:lumMod val="20000"/>
            <a:lumOff val="80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4725C6-9F6B-4AB6-9DF7-A71A23BF40BA}" type="TxLink">
            <a:rPr lang="en-US" sz="1800" b="1" i="0" u="none" strike="noStrike">
              <a:solidFill>
                <a:srgbClr val="002060"/>
              </a:solidFill>
              <a:latin typeface="Times New Roman" panose="02020603050405020304" pitchFamily="18" charset="0"/>
              <a:cs typeface="Times New Roman" panose="02020603050405020304" pitchFamily="18" charset="0"/>
            </a:rPr>
            <a:pPr algn="ctr"/>
            <a:t>145.99</a:t>
          </a:fld>
          <a:endParaRPr lang="en-IN" sz="18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303162</xdr:colOff>
      <xdr:row>4</xdr:row>
      <xdr:rowOff>111668</xdr:rowOff>
    </xdr:from>
    <xdr:to>
      <xdr:col>19</xdr:col>
      <xdr:colOff>260366</xdr:colOff>
      <xdr:row>5</xdr:row>
      <xdr:rowOff>129605</xdr:rowOff>
    </xdr:to>
    <xdr:sp macro="" textlink="Historical_IS!B2">
      <xdr:nvSpPr>
        <xdr:cNvPr id="36" name="TextBox 35">
          <a:extLst>
            <a:ext uri="{FF2B5EF4-FFF2-40B4-BE49-F238E27FC236}">
              <a16:creationId xmlns:a16="http://schemas.microsoft.com/office/drawing/2014/main" id="{72FF4ECD-5AA2-4D12-B5BB-CFA9D4553CE6}"/>
            </a:ext>
          </a:extLst>
        </xdr:cNvPr>
        <xdr:cNvSpPr txBox="1"/>
      </xdr:nvSpPr>
      <xdr:spPr>
        <a:xfrm>
          <a:off x="10666362" y="958335"/>
          <a:ext cx="1176404" cy="238070"/>
        </a:xfrm>
        <a:prstGeom prst="rect">
          <a:avLst/>
        </a:prstGeom>
        <a:solidFill>
          <a:schemeClr val="accent1">
            <a:lumMod val="75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latin typeface="Times New Roman" panose="02020603050405020304" pitchFamily="18" charset="0"/>
              <a:cs typeface="Times New Roman" panose="02020603050405020304" pitchFamily="18" charset="0"/>
            </a:rPr>
            <a:t>EPS</a:t>
          </a:r>
        </a:p>
      </xdr:txBody>
    </xdr:sp>
    <xdr:clientData/>
  </xdr:twoCellAnchor>
  <xdr:twoCellAnchor>
    <xdr:from>
      <xdr:col>12</xdr:col>
      <xdr:colOff>326196</xdr:colOff>
      <xdr:row>2</xdr:row>
      <xdr:rowOff>116637</xdr:rowOff>
    </xdr:from>
    <xdr:to>
      <xdr:col>14</xdr:col>
      <xdr:colOff>313806</xdr:colOff>
      <xdr:row>4</xdr:row>
      <xdr:rowOff>115252</xdr:rowOff>
    </xdr:to>
    <xdr:sp macro="" textlink="'Ratio analysis'!C16">
      <xdr:nvSpPr>
        <xdr:cNvPr id="37" name="TextBox 36">
          <a:extLst>
            <a:ext uri="{FF2B5EF4-FFF2-40B4-BE49-F238E27FC236}">
              <a16:creationId xmlns:a16="http://schemas.microsoft.com/office/drawing/2014/main" id="{7765A28D-B2D8-42F3-8F10-56A36F48C295}"/>
            </a:ext>
          </a:extLst>
        </xdr:cNvPr>
        <xdr:cNvSpPr txBox="1"/>
      </xdr:nvSpPr>
      <xdr:spPr>
        <a:xfrm>
          <a:off x="7641396" y="556904"/>
          <a:ext cx="1206810" cy="405015"/>
        </a:xfrm>
        <a:prstGeom prst="rect">
          <a:avLst/>
        </a:prstGeom>
        <a:solidFill>
          <a:schemeClr val="accent5">
            <a:lumMod val="20000"/>
            <a:lumOff val="80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542A2F-E042-4B13-94D9-1D4345CCA1D3}" type="TxLink">
            <a:rPr lang="en-US" sz="1800" b="1" i="0" u="none" strike="noStrike">
              <a:solidFill>
                <a:srgbClr val="002060"/>
              </a:solidFill>
              <a:latin typeface="Times New Roman" panose="02020603050405020304" pitchFamily="18" charset="0"/>
              <a:cs typeface="Times New Roman" panose="02020603050405020304" pitchFamily="18" charset="0"/>
            </a:rPr>
            <a:pPr algn="ctr"/>
            <a:t>2.23</a:t>
          </a:fld>
          <a:endParaRPr lang="en-IN" sz="18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327919</xdr:colOff>
      <xdr:row>4</xdr:row>
      <xdr:rowOff>115252</xdr:rowOff>
    </xdr:from>
    <xdr:to>
      <xdr:col>14</xdr:col>
      <xdr:colOff>315529</xdr:colOff>
      <xdr:row>5</xdr:row>
      <xdr:rowOff>133189</xdr:rowOff>
    </xdr:to>
    <xdr:sp macro="" textlink="Historical_IS!B2">
      <xdr:nvSpPr>
        <xdr:cNvPr id="38" name="TextBox 37">
          <a:extLst>
            <a:ext uri="{FF2B5EF4-FFF2-40B4-BE49-F238E27FC236}">
              <a16:creationId xmlns:a16="http://schemas.microsoft.com/office/drawing/2014/main" id="{534365A4-33F9-40CC-91D4-FB28D60587E2}"/>
            </a:ext>
          </a:extLst>
        </xdr:cNvPr>
        <xdr:cNvSpPr txBox="1"/>
      </xdr:nvSpPr>
      <xdr:spPr>
        <a:xfrm>
          <a:off x="7643119" y="961919"/>
          <a:ext cx="1206810" cy="238070"/>
        </a:xfrm>
        <a:prstGeom prst="rect">
          <a:avLst/>
        </a:prstGeom>
        <a:solidFill>
          <a:schemeClr val="accent1">
            <a:lumMod val="75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latin typeface="Times New Roman" panose="02020603050405020304" pitchFamily="18" charset="0"/>
              <a:cs typeface="Times New Roman" panose="02020603050405020304" pitchFamily="18" charset="0"/>
            </a:rPr>
            <a:t>Current</a:t>
          </a:r>
          <a:r>
            <a:rPr lang="en-IN" sz="1300" b="1" baseline="0">
              <a:solidFill>
                <a:schemeClr val="bg1"/>
              </a:solidFill>
              <a:latin typeface="Times New Roman" panose="02020603050405020304" pitchFamily="18" charset="0"/>
              <a:cs typeface="Times New Roman" panose="02020603050405020304" pitchFamily="18" charset="0"/>
            </a:rPr>
            <a:t> Ratio</a:t>
          </a:r>
          <a:endParaRPr lang="en-IN" sz="13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5492</xdr:colOff>
      <xdr:row>2</xdr:row>
      <xdr:rowOff>118349</xdr:rowOff>
    </xdr:from>
    <xdr:to>
      <xdr:col>16</xdr:col>
      <xdr:colOff>601643</xdr:colOff>
      <xdr:row>4</xdr:row>
      <xdr:rowOff>116964</xdr:rowOff>
    </xdr:to>
    <xdr:sp macro="" textlink="'Ratio analysis'!C63">
      <xdr:nvSpPr>
        <xdr:cNvPr id="39" name="TextBox 38">
          <a:extLst>
            <a:ext uri="{FF2B5EF4-FFF2-40B4-BE49-F238E27FC236}">
              <a16:creationId xmlns:a16="http://schemas.microsoft.com/office/drawing/2014/main" id="{0A3CF336-7D35-4FD2-83A8-032123203DC7}"/>
            </a:ext>
          </a:extLst>
        </xdr:cNvPr>
        <xdr:cNvSpPr txBox="1"/>
      </xdr:nvSpPr>
      <xdr:spPr>
        <a:xfrm>
          <a:off x="9149492" y="558616"/>
          <a:ext cx="1205751" cy="405015"/>
        </a:xfrm>
        <a:prstGeom prst="rect">
          <a:avLst/>
        </a:prstGeom>
        <a:solidFill>
          <a:schemeClr val="accent5">
            <a:lumMod val="20000"/>
            <a:lumOff val="80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C53C4-7ABD-47A0-85B3-24802AB3A332}" type="TxLink">
            <a:rPr lang="en-US" sz="1600" b="1" i="0" u="none" strike="noStrike">
              <a:solidFill>
                <a:srgbClr val="002060"/>
              </a:solidFill>
              <a:latin typeface="Times New Roman" panose="02020603050405020304" pitchFamily="18" charset="0"/>
              <a:cs typeface="Times New Roman" panose="02020603050405020304" pitchFamily="18" charset="0"/>
            </a:rPr>
            <a:pPr algn="ctr"/>
            <a:t>₹ 48,424.00</a:t>
          </a:fld>
          <a:endParaRPr lang="en-IN" sz="16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7215</xdr:colOff>
      <xdr:row>4</xdr:row>
      <xdr:rowOff>116964</xdr:rowOff>
    </xdr:from>
    <xdr:to>
      <xdr:col>16</xdr:col>
      <xdr:colOff>603366</xdr:colOff>
      <xdr:row>5</xdr:row>
      <xdr:rowOff>169827</xdr:rowOff>
    </xdr:to>
    <xdr:sp macro="" textlink="">
      <xdr:nvSpPr>
        <xdr:cNvPr id="40" name="TextBox 39">
          <a:extLst>
            <a:ext uri="{FF2B5EF4-FFF2-40B4-BE49-F238E27FC236}">
              <a16:creationId xmlns:a16="http://schemas.microsoft.com/office/drawing/2014/main" id="{95D83627-8C7E-448E-A9F0-02F4C58C5A92}"/>
            </a:ext>
          </a:extLst>
        </xdr:cNvPr>
        <xdr:cNvSpPr txBox="1"/>
      </xdr:nvSpPr>
      <xdr:spPr>
        <a:xfrm>
          <a:off x="9151215" y="963631"/>
          <a:ext cx="1205751" cy="272996"/>
        </a:xfrm>
        <a:prstGeom prst="rect">
          <a:avLst/>
        </a:prstGeom>
        <a:solidFill>
          <a:schemeClr val="accent1">
            <a:lumMod val="75000"/>
          </a:schemeClr>
        </a:solidFill>
        <a:ln w="349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i="0" u="none" strike="noStrike">
              <a:solidFill>
                <a:schemeClr val="bg1"/>
              </a:solidFill>
              <a:latin typeface="Times New Roman" panose="02020603050405020304" pitchFamily="18" charset="0"/>
              <a:cs typeface="Times New Roman" panose="02020603050405020304" pitchFamily="18" charset="0"/>
            </a:rPr>
            <a:t>FCF</a:t>
          </a:r>
        </a:p>
      </xdr:txBody>
    </xdr:sp>
    <xdr:clientData/>
  </xdr:twoCellAnchor>
  <xdr:twoCellAnchor>
    <xdr:from>
      <xdr:col>0</xdr:col>
      <xdr:colOff>28662</xdr:colOff>
      <xdr:row>8</xdr:row>
      <xdr:rowOff>13843</xdr:rowOff>
    </xdr:from>
    <xdr:to>
      <xdr:col>4</xdr:col>
      <xdr:colOff>524756</xdr:colOff>
      <xdr:row>16</xdr:row>
      <xdr:rowOff>88019</xdr:rowOff>
    </xdr:to>
    <xdr:graphicFrame macro="">
      <xdr:nvGraphicFramePr>
        <xdr:cNvPr id="41" name="Chart 40">
          <a:extLst>
            <a:ext uri="{FF2B5EF4-FFF2-40B4-BE49-F238E27FC236}">
              <a16:creationId xmlns:a16="http://schemas.microsoft.com/office/drawing/2014/main" id="{0A320619-1E49-454C-95A9-CDD4CC497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24885</xdr:colOff>
      <xdr:row>8</xdr:row>
      <xdr:rowOff>23371</xdr:rowOff>
    </xdr:from>
    <xdr:to>
      <xdr:col>9</xdr:col>
      <xdr:colOff>514364</xdr:colOff>
      <xdr:row>16</xdr:row>
      <xdr:rowOff>63059</xdr:rowOff>
    </xdr:to>
    <xdr:graphicFrame macro="">
      <xdr:nvGraphicFramePr>
        <xdr:cNvPr id="42" name="Chart 41">
          <a:extLst>
            <a:ext uri="{FF2B5EF4-FFF2-40B4-BE49-F238E27FC236}">
              <a16:creationId xmlns:a16="http://schemas.microsoft.com/office/drawing/2014/main" id="{2428440D-1A40-42A7-BF04-674704F27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67988</xdr:colOff>
      <xdr:row>18</xdr:row>
      <xdr:rowOff>166877</xdr:rowOff>
    </xdr:from>
    <xdr:to>
      <xdr:col>4</xdr:col>
      <xdr:colOff>385488</xdr:colOff>
      <xdr:row>28</xdr:row>
      <xdr:rowOff>88763</xdr:rowOff>
    </xdr:to>
    <xdr:graphicFrame macro="">
      <xdr:nvGraphicFramePr>
        <xdr:cNvPr id="43" name="Chart 42">
          <a:extLst>
            <a:ext uri="{FF2B5EF4-FFF2-40B4-BE49-F238E27FC236}">
              <a16:creationId xmlns:a16="http://schemas.microsoft.com/office/drawing/2014/main" id="{06FB35AB-3A8C-4B06-BDBB-F2D8CA7AE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471248</xdr:colOff>
      <xdr:row>18</xdr:row>
      <xdr:rowOff>172080</xdr:rowOff>
    </xdr:from>
    <xdr:to>
      <xdr:col>9</xdr:col>
      <xdr:colOff>524394</xdr:colOff>
      <xdr:row>28</xdr:row>
      <xdr:rowOff>81935</xdr:rowOff>
    </xdr:to>
    <xdr:graphicFrame macro="">
      <xdr:nvGraphicFramePr>
        <xdr:cNvPr id="44" name="Chart 43">
          <a:extLst>
            <a:ext uri="{FF2B5EF4-FFF2-40B4-BE49-F238E27FC236}">
              <a16:creationId xmlns:a16="http://schemas.microsoft.com/office/drawing/2014/main" id="{F176D3FD-EAA3-414F-8BA5-09ABF2F32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599034</xdr:colOff>
      <xdr:row>8</xdr:row>
      <xdr:rowOff>32417</xdr:rowOff>
    </xdr:from>
    <xdr:to>
      <xdr:col>14</xdr:col>
      <xdr:colOff>295150</xdr:colOff>
      <xdr:row>16</xdr:row>
      <xdr:rowOff>65280</xdr:rowOff>
    </xdr:to>
    <xdr:graphicFrame macro="">
      <xdr:nvGraphicFramePr>
        <xdr:cNvPr id="45" name="Chart 44">
          <a:extLst>
            <a:ext uri="{FF2B5EF4-FFF2-40B4-BE49-F238E27FC236}">
              <a16:creationId xmlns:a16="http://schemas.microsoft.com/office/drawing/2014/main" id="{4413282C-45EA-43CB-BBC2-8BD27E902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369001</xdr:colOff>
      <xdr:row>8</xdr:row>
      <xdr:rowOff>44336</xdr:rowOff>
    </xdr:from>
    <xdr:to>
      <xdr:col>19</xdr:col>
      <xdr:colOff>248161</xdr:colOff>
      <xdr:row>16</xdr:row>
      <xdr:rowOff>77151</xdr:rowOff>
    </xdr:to>
    <xdr:graphicFrame macro="">
      <xdr:nvGraphicFramePr>
        <xdr:cNvPr id="46" name="Chart 45">
          <a:extLst>
            <a:ext uri="{FF2B5EF4-FFF2-40B4-BE49-F238E27FC236}">
              <a16:creationId xmlns:a16="http://schemas.microsoft.com/office/drawing/2014/main" id="{4147C4DE-82CC-40F6-BC5C-7B9ED3D0A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60158</xdr:colOff>
      <xdr:row>18</xdr:row>
      <xdr:rowOff>191152</xdr:rowOff>
    </xdr:from>
    <xdr:to>
      <xdr:col>15</xdr:col>
      <xdr:colOff>380418</xdr:colOff>
      <xdr:row>28</xdr:row>
      <xdr:rowOff>54623</xdr:rowOff>
    </xdr:to>
    <xdr:graphicFrame macro="">
      <xdr:nvGraphicFramePr>
        <xdr:cNvPr id="47" name="Chart 46">
          <a:extLst>
            <a:ext uri="{FF2B5EF4-FFF2-40B4-BE49-F238E27FC236}">
              <a16:creationId xmlns:a16="http://schemas.microsoft.com/office/drawing/2014/main" id="{F761DB6F-5FAF-46D3-BFE3-40C5A62C7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458315</xdr:colOff>
      <xdr:row>18</xdr:row>
      <xdr:rowOff>198972</xdr:rowOff>
    </xdr:from>
    <xdr:to>
      <xdr:col>19</xdr:col>
      <xdr:colOff>194129</xdr:colOff>
      <xdr:row>28</xdr:row>
      <xdr:rowOff>54623</xdr:rowOff>
    </xdr:to>
    <xdr:graphicFrame macro="">
      <xdr:nvGraphicFramePr>
        <xdr:cNvPr id="48" name="Chart 47">
          <a:extLst>
            <a:ext uri="{FF2B5EF4-FFF2-40B4-BE49-F238E27FC236}">
              <a16:creationId xmlns:a16="http://schemas.microsoft.com/office/drawing/2014/main" id="{FA34FE8F-20D2-42C5-BF22-D64E4D804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42333</xdr:colOff>
      <xdr:row>6</xdr:row>
      <xdr:rowOff>67731</xdr:rowOff>
    </xdr:from>
    <xdr:to>
      <xdr:col>9</xdr:col>
      <xdr:colOff>524933</xdr:colOff>
      <xdr:row>8</xdr:row>
      <xdr:rowOff>8464</xdr:rowOff>
    </xdr:to>
    <xdr:sp macro="" textlink="">
      <xdr:nvSpPr>
        <xdr:cNvPr id="49" name="TextBox 48">
          <a:extLst>
            <a:ext uri="{FF2B5EF4-FFF2-40B4-BE49-F238E27FC236}">
              <a16:creationId xmlns:a16="http://schemas.microsoft.com/office/drawing/2014/main" id="{66EBA36F-3E15-8A8B-59C0-AEBE63CD5018}"/>
            </a:ext>
          </a:extLst>
        </xdr:cNvPr>
        <xdr:cNvSpPr txBox="1"/>
      </xdr:nvSpPr>
      <xdr:spPr>
        <a:xfrm>
          <a:off x="42333" y="1354664"/>
          <a:ext cx="5969000" cy="3810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Times New Roman" panose="02020603050405020304" pitchFamily="18" charset="0"/>
              <a:cs typeface="Times New Roman" panose="02020603050405020304" pitchFamily="18" charset="0"/>
            </a:rPr>
            <a:t>REVENUE &amp; PAT</a:t>
          </a:r>
          <a:r>
            <a:rPr lang="en-IN" sz="1600" b="1" baseline="0">
              <a:solidFill>
                <a:schemeClr val="bg1"/>
              </a:solidFill>
              <a:latin typeface="Times New Roman" panose="02020603050405020304" pitchFamily="18" charset="0"/>
              <a:cs typeface="Times New Roman" panose="02020603050405020304" pitchFamily="18" charset="0"/>
            </a:rPr>
            <a:t> TREND</a:t>
          </a:r>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591861</xdr:colOff>
      <xdr:row>6</xdr:row>
      <xdr:rowOff>82955</xdr:rowOff>
    </xdr:from>
    <xdr:to>
      <xdr:col>19</xdr:col>
      <xdr:colOff>262392</xdr:colOff>
      <xdr:row>8</xdr:row>
      <xdr:rowOff>23688</xdr:rowOff>
    </xdr:to>
    <xdr:sp macro="" textlink="">
      <xdr:nvSpPr>
        <xdr:cNvPr id="50" name="TextBox 49">
          <a:extLst>
            <a:ext uri="{FF2B5EF4-FFF2-40B4-BE49-F238E27FC236}">
              <a16:creationId xmlns:a16="http://schemas.microsoft.com/office/drawing/2014/main" id="{3D0466B6-39D5-4592-84C9-A37FF072CB07}"/>
            </a:ext>
          </a:extLst>
        </xdr:cNvPr>
        <xdr:cNvSpPr txBox="1"/>
      </xdr:nvSpPr>
      <xdr:spPr>
        <a:xfrm>
          <a:off x="6109792" y="1360254"/>
          <a:ext cx="5801566" cy="378664"/>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Times New Roman" panose="02020603050405020304" pitchFamily="18" charset="0"/>
              <a:cs typeface="Times New Roman" panose="02020603050405020304" pitchFamily="18" charset="0"/>
            </a:rPr>
            <a:t>BALANCE SHEET TREND</a:t>
          </a:r>
        </a:p>
      </xdr:txBody>
    </xdr:sp>
    <xdr:clientData/>
  </xdr:twoCellAnchor>
  <xdr:twoCellAnchor>
    <xdr:from>
      <xdr:col>0</xdr:col>
      <xdr:colOff>62459</xdr:colOff>
      <xdr:row>17</xdr:row>
      <xdr:rowOff>10405</xdr:rowOff>
    </xdr:from>
    <xdr:to>
      <xdr:col>9</xdr:col>
      <xdr:colOff>536105</xdr:colOff>
      <xdr:row>18</xdr:row>
      <xdr:rowOff>161347</xdr:rowOff>
    </xdr:to>
    <xdr:sp macro="" textlink="">
      <xdr:nvSpPr>
        <xdr:cNvPr id="51" name="TextBox 50">
          <a:extLst>
            <a:ext uri="{FF2B5EF4-FFF2-40B4-BE49-F238E27FC236}">
              <a16:creationId xmlns:a16="http://schemas.microsoft.com/office/drawing/2014/main" id="{87268BE3-E8AE-1EFE-59EE-F300E62A7614}"/>
            </a:ext>
          </a:extLst>
        </xdr:cNvPr>
        <xdr:cNvSpPr txBox="1"/>
      </xdr:nvSpPr>
      <xdr:spPr>
        <a:xfrm>
          <a:off x="62459" y="3617413"/>
          <a:ext cx="5954425" cy="364344"/>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Times New Roman" panose="02020603050405020304" pitchFamily="18" charset="0"/>
              <a:cs typeface="Times New Roman" panose="02020603050405020304" pitchFamily="18" charset="0"/>
            </a:rPr>
            <a:t>PROFITABILITY</a:t>
          </a:r>
          <a:r>
            <a:rPr lang="en-IN" sz="1600" b="1" baseline="0">
              <a:solidFill>
                <a:schemeClr val="bg1"/>
              </a:solidFill>
              <a:latin typeface="Times New Roman" panose="02020603050405020304" pitchFamily="18" charset="0"/>
              <a:cs typeface="Times New Roman" panose="02020603050405020304" pitchFamily="18" charset="0"/>
            </a:rPr>
            <a:t> AND GROWTH</a:t>
          </a:r>
          <a:r>
            <a:rPr lang="en-IN" sz="1600" b="1">
              <a:solidFill>
                <a:schemeClr val="bg1"/>
              </a:solidFill>
              <a:latin typeface="Times New Roman" panose="02020603050405020304" pitchFamily="18" charset="0"/>
              <a:cs typeface="Times New Roman" panose="02020603050405020304" pitchFamily="18" charset="0"/>
            </a:rPr>
            <a:t> TREND</a:t>
          </a:r>
        </a:p>
      </xdr:txBody>
    </xdr:sp>
    <xdr:clientData/>
  </xdr:twoCellAnchor>
  <xdr:twoCellAnchor>
    <xdr:from>
      <xdr:col>10</xdr:col>
      <xdr:colOff>30209</xdr:colOff>
      <xdr:row>17</xdr:row>
      <xdr:rowOff>12578</xdr:rowOff>
    </xdr:from>
    <xdr:to>
      <xdr:col>19</xdr:col>
      <xdr:colOff>196272</xdr:colOff>
      <xdr:row>18</xdr:row>
      <xdr:rowOff>169342</xdr:rowOff>
    </xdr:to>
    <xdr:sp macro="" textlink="">
      <xdr:nvSpPr>
        <xdr:cNvPr id="52" name="TextBox 51">
          <a:extLst>
            <a:ext uri="{FF2B5EF4-FFF2-40B4-BE49-F238E27FC236}">
              <a16:creationId xmlns:a16="http://schemas.microsoft.com/office/drawing/2014/main" id="{4AB7D296-00E9-4B39-ADF2-CE4683CE1A4C}"/>
            </a:ext>
          </a:extLst>
        </xdr:cNvPr>
        <xdr:cNvSpPr txBox="1"/>
      </xdr:nvSpPr>
      <xdr:spPr>
        <a:xfrm>
          <a:off x="6149300" y="3626305"/>
          <a:ext cx="5673245" cy="37035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Times New Roman" panose="02020603050405020304" pitchFamily="18" charset="0"/>
              <a:cs typeface="Times New Roman" panose="02020603050405020304" pitchFamily="18" charset="0"/>
            </a:rPr>
            <a:t>CASH FLOW RATIO</a:t>
          </a:r>
          <a:r>
            <a:rPr lang="en-IN" sz="1600" b="1" baseline="0">
              <a:solidFill>
                <a:schemeClr val="bg1"/>
              </a:solidFill>
              <a:latin typeface="Times New Roman" panose="02020603050405020304" pitchFamily="18" charset="0"/>
              <a:cs typeface="Times New Roman" panose="02020603050405020304" pitchFamily="18" charset="0"/>
            </a:rPr>
            <a:t> TREND</a:t>
          </a:r>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93178</xdr:colOff>
      <xdr:row>28</xdr:row>
      <xdr:rowOff>210126</xdr:rowOff>
    </xdr:from>
    <xdr:to>
      <xdr:col>9</xdr:col>
      <xdr:colOff>466767</xdr:colOff>
      <xdr:row>30</xdr:row>
      <xdr:rowOff>151072</xdr:rowOff>
    </xdr:to>
    <xdr:sp macro="" textlink="">
      <xdr:nvSpPr>
        <xdr:cNvPr id="56" name="TextBox 55">
          <a:extLst>
            <a:ext uri="{FF2B5EF4-FFF2-40B4-BE49-F238E27FC236}">
              <a16:creationId xmlns:a16="http://schemas.microsoft.com/office/drawing/2014/main" id="{939ADA10-6883-4759-870B-22F33237127E}"/>
            </a:ext>
          </a:extLst>
        </xdr:cNvPr>
        <xdr:cNvSpPr txBox="1"/>
      </xdr:nvSpPr>
      <xdr:spPr>
        <a:xfrm>
          <a:off x="93178" y="6317671"/>
          <a:ext cx="5880771" cy="379674"/>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Times New Roman" panose="02020603050405020304" pitchFamily="18" charset="0"/>
              <a:cs typeface="Times New Roman" panose="02020603050405020304" pitchFamily="18" charset="0"/>
            </a:rPr>
            <a:t>RETURN AND</a:t>
          </a:r>
          <a:r>
            <a:rPr lang="en-IN" sz="1600" b="1" baseline="0">
              <a:solidFill>
                <a:schemeClr val="bg1"/>
              </a:solidFill>
              <a:latin typeface="Times New Roman" panose="02020603050405020304" pitchFamily="18" charset="0"/>
              <a:cs typeface="Times New Roman" panose="02020603050405020304" pitchFamily="18" charset="0"/>
            </a:rPr>
            <a:t> LIQUIDITY TREND</a:t>
          </a:r>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597401</xdr:colOff>
      <xdr:row>30</xdr:row>
      <xdr:rowOff>150744</xdr:rowOff>
    </xdr:from>
    <xdr:to>
      <xdr:col>9</xdr:col>
      <xdr:colOff>458433</xdr:colOff>
      <xdr:row>40</xdr:row>
      <xdr:rowOff>126476</xdr:rowOff>
    </xdr:to>
    <xdr:graphicFrame macro="">
      <xdr:nvGraphicFramePr>
        <xdr:cNvPr id="4" name="Chart 3">
          <a:extLst>
            <a:ext uri="{FF2B5EF4-FFF2-40B4-BE49-F238E27FC236}">
              <a16:creationId xmlns:a16="http://schemas.microsoft.com/office/drawing/2014/main" id="{2B3DA09C-F426-426E-868A-695E2FE8D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96215</xdr:colOff>
      <xdr:row>30</xdr:row>
      <xdr:rowOff>152342</xdr:rowOff>
    </xdr:from>
    <xdr:to>
      <xdr:col>4</xdr:col>
      <xdr:colOff>514218</xdr:colOff>
      <xdr:row>40</xdr:row>
      <xdr:rowOff>111879</xdr:rowOff>
    </xdr:to>
    <xdr:graphicFrame macro="">
      <xdr:nvGraphicFramePr>
        <xdr:cNvPr id="7" name="Chart 6">
          <a:extLst>
            <a:ext uri="{FF2B5EF4-FFF2-40B4-BE49-F238E27FC236}">
              <a16:creationId xmlns:a16="http://schemas.microsoft.com/office/drawing/2014/main" id="{3109AA70-5C5D-49DB-9AE9-705D51179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12761</xdr:colOff>
      <xdr:row>30</xdr:row>
      <xdr:rowOff>141900</xdr:rowOff>
    </xdr:from>
    <xdr:to>
      <xdr:col>14</xdr:col>
      <xdr:colOff>418919</xdr:colOff>
      <xdr:row>40</xdr:row>
      <xdr:rowOff>106727</xdr:rowOff>
    </xdr:to>
    <xdr:graphicFrame macro="">
      <xdr:nvGraphicFramePr>
        <xdr:cNvPr id="8" name="Chart 7">
          <a:extLst>
            <a:ext uri="{FF2B5EF4-FFF2-40B4-BE49-F238E27FC236}">
              <a16:creationId xmlns:a16="http://schemas.microsoft.com/office/drawing/2014/main" id="{573919B4-5BDA-4EDA-8524-48A75E3B2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599254</xdr:colOff>
      <xdr:row>28</xdr:row>
      <xdr:rowOff>190170</xdr:rowOff>
    </xdr:from>
    <xdr:to>
      <xdr:col>19</xdr:col>
      <xdr:colOff>176125</xdr:colOff>
      <xdr:row>30</xdr:row>
      <xdr:rowOff>131116</xdr:rowOff>
    </xdr:to>
    <xdr:sp macro="" textlink="">
      <xdr:nvSpPr>
        <xdr:cNvPr id="11" name="TextBox 10">
          <a:extLst>
            <a:ext uri="{FF2B5EF4-FFF2-40B4-BE49-F238E27FC236}">
              <a16:creationId xmlns:a16="http://schemas.microsoft.com/office/drawing/2014/main" id="{A5432EF0-D302-49D8-8CCC-D43EDBB38141}"/>
            </a:ext>
          </a:extLst>
        </xdr:cNvPr>
        <xdr:cNvSpPr txBox="1"/>
      </xdr:nvSpPr>
      <xdr:spPr>
        <a:xfrm>
          <a:off x="6106436" y="6297715"/>
          <a:ext cx="5695962" cy="379674"/>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Times New Roman" panose="02020603050405020304" pitchFamily="18" charset="0"/>
              <a:cs typeface="Times New Roman" panose="02020603050405020304" pitchFamily="18" charset="0"/>
            </a:rPr>
            <a:t>EFFICIENCY &amp; LEVERAGE TREND</a:t>
          </a:r>
        </a:p>
      </xdr:txBody>
    </xdr:sp>
    <xdr:clientData/>
  </xdr:twoCellAnchor>
  <xdr:twoCellAnchor>
    <xdr:from>
      <xdr:col>14</xdr:col>
      <xdr:colOff>499851</xdr:colOff>
      <xdr:row>30</xdr:row>
      <xdr:rowOff>145801</xdr:rowOff>
    </xdr:from>
    <xdr:to>
      <xdr:col>19</xdr:col>
      <xdr:colOff>163676</xdr:colOff>
      <xdr:row>40</xdr:row>
      <xdr:rowOff>127121</xdr:rowOff>
    </xdr:to>
    <xdr:graphicFrame macro="">
      <xdr:nvGraphicFramePr>
        <xdr:cNvPr id="13" name="Chart 12">
          <a:extLst>
            <a:ext uri="{FF2B5EF4-FFF2-40B4-BE49-F238E27FC236}">
              <a16:creationId xmlns:a16="http://schemas.microsoft.com/office/drawing/2014/main" id="{B52B61DD-4CD3-44F1-ACDF-F40E81ACE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10</xdr:col>
      <xdr:colOff>226868</xdr:colOff>
      <xdr:row>35</xdr:row>
      <xdr:rowOff>36191</xdr:rowOff>
    </xdr:from>
    <xdr:ext cx="1207746" cy="264560"/>
    <xdr:sp macro="" textlink="">
      <xdr:nvSpPr>
        <xdr:cNvPr id="14" name="TextBox 13">
          <a:extLst>
            <a:ext uri="{FF2B5EF4-FFF2-40B4-BE49-F238E27FC236}">
              <a16:creationId xmlns:a16="http://schemas.microsoft.com/office/drawing/2014/main" id="{99DD5327-CFF7-8A49-E0A8-80AD9143FB8A}"/>
            </a:ext>
          </a:extLst>
        </xdr:cNvPr>
        <xdr:cNvSpPr txBox="1"/>
      </xdr:nvSpPr>
      <xdr:spPr>
        <a:xfrm>
          <a:off x="6355356" y="7508517"/>
          <a:ext cx="12077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Cash Conversion</a:t>
          </a:r>
        </a:p>
      </xdr:txBody>
    </xdr:sp>
    <xdr:clientData/>
  </xdr:oneCellAnchor>
  <xdr:oneCellAnchor>
    <xdr:from>
      <xdr:col>12</xdr:col>
      <xdr:colOff>277108</xdr:colOff>
      <xdr:row>36</xdr:row>
      <xdr:rowOff>96423</xdr:rowOff>
    </xdr:from>
    <xdr:ext cx="1122936" cy="264560"/>
    <xdr:sp macro="" textlink="">
      <xdr:nvSpPr>
        <xdr:cNvPr id="15" name="TextBox 14">
          <a:extLst>
            <a:ext uri="{FF2B5EF4-FFF2-40B4-BE49-F238E27FC236}">
              <a16:creationId xmlns:a16="http://schemas.microsoft.com/office/drawing/2014/main" id="{749EDD37-60A6-F4FB-DAE1-9BBF730ED750}"/>
            </a:ext>
          </a:extLst>
        </xdr:cNvPr>
        <xdr:cNvSpPr txBox="1"/>
      </xdr:nvSpPr>
      <xdr:spPr>
        <a:xfrm>
          <a:off x="7631294" y="7782876"/>
          <a:ext cx="11229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Receivable</a:t>
          </a:r>
          <a:r>
            <a:rPr lang="en-IN" sz="1100"/>
            <a:t> </a:t>
          </a:r>
          <a:r>
            <a:rPr lang="en-IN" sz="1100" b="1"/>
            <a:t>Days</a:t>
          </a:r>
        </a:p>
      </xdr:txBody>
    </xdr:sp>
    <xdr:clientData/>
  </xdr:oneCellAnchor>
  <xdr:oneCellAnchor>
    <xdr:from>
      <xdr:col>11</xdr:col>
      <xdr:colOff>534122</xdr:colOff>
      <xdr:row>21</xdr:row>
      <xdr:rowOff>72086</xdr:rowOff>
    </xdr:from>
    <xdr:ext cx="761041" cy="436786"/>
    <xdr:sp macro="" textlink="">
      <xdr:nvSpPr>
        <xdr:cNvPr id="16" name="TextBox 15">
          <a:extLst>
            <a:ext uri="{FF2B5EF4-FFF2-40B4-BE49-F238E27FC236}">
              <a16:creationId xmlns:a16="http://schemas.microsoft.com/office/drawing/2014/main" id="{3BB92A98-3176-6D89-E2A4-D1C97D7FE29B}"/>
            </a:ext>
          </a:extLst>
        </xdr:cNvPr>
        <xdr:cNvSpPr txBox="1"/>
      </xdr:nvSpPr>
      <xdr:spPr>
        <a:xfrm>
          <a:off x="7243398" y="4600639"/>
          <a:ext cx="76104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a:t>Investing</a:t>
          </a:r>
          <a:r>
            <a:rPr lang="en-IN" sz="1100" baseline="0"/>
            <a:t> </a:t>
          </a:r>
        </a:p>
        <a:p>
          <a:pPr algn="ctr"/>
          <a:r>
            <a:rPr lang="en-IN" sz="1100" baseline="0"/>
            <a:t>Cash Flow</a:t>
          </a:r>
          <a:endParaRPr lang="en-IN" sz="1100"/>
        </a:p>
      </xdr:txBody>
    </xdr:sp>
    <xdr:clientData/>
  </xdr:oneCellAnchor>
  <xdr:oneCellAnchor>
    <xdr:from>
      <xdr:col>10</xdr:col>
      <xdr:colOff>249020</xdr:colOff>
      <xdr:row>23</xdr:row>
      <xdr:rowOff>186765</xdr:rowOff>
    </xdr:from>
    <xdr:ext cx="759375" cy="436786"/>
    <xdr:sp macro="" textlink="">
      <xdr:nvSpPr>
        <xdr:cNvPr id="17" name="TextBox 16">
          <a:extLst>
            <a:ext uri="{FF2B5EF4-FFF2-40B4-BE49-F238E27FC236}">
              <a16:creationId xmlns:a16="http://schemas.microsoft.com/office/drawing/2014/main" id="{242D1AD0-7CCE-B56D-9CB9-72F595CFE381}"/>
            </a:ext>
          </a:extLst>
        </xdr:cNvPr>
        <xdr:cNvSpPr txBox="1"/>
      </xdr:nvSpPr>
      <xdr:spPr>
        <a:xfrm>
          <a:off x="6350000" y="5173383"/>
          <a:ext cx="75937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Operating</a:t>
          </a:r>
          <a:br>
            <a:rPr lang="en-IN" sz="1100"/>
          </a:br>
          <a:r>
            <a:rPr lang="en-IN" sz="1100"/>
            <a:t>Cash</a:t>
          </a:r>
          <a:r>
            <a:rPr lang="en-IN" sz="1100" baseline="0"/>
            <a:t> Flow</a:t>
          </a:r>
          <a:endParaRPr lang="en-IN" sz="1100"/>
        </a:p>
      </xdr:txBody>
    </xdr:sp>
    <xdr:clientData/>
  </xdr:oneCellAnchor>
</xdr:wsDr>
</file>

<file path=xl/drawings/drawing3.xml><?xml version="1.0" encoding="utf-8"?>
<c:userShapes xmlns:c="http://schemas.openxmlformats.org/drawingml/2006/chart">
  <cdr:relSizeAnchor xmlns:cdr="http://schemas.openxmlformats.org/drawingml/2006/chartDrawing">
    <cdr:from>
      <cdr:x>0.56947</cdr:x>
      <cdr:y>0.31502</cdr:y>
    </cdr:from>
    <cdr:to>
      <cdr:x>0.78925</cdr:x>
      <cdr:y>0.53103</cdr:y>
    </cdr:to>
    <cdr:sp macro="" textlink="">
      <cdr:nvSpPr>
        <cdr:cNvPr id="2" name="TextBox 1">
          <a:extLst xmlns:a="http://schemas.openxmlformats.org/drawingml/2006/main">
            <a:ext uri="{FF2B5EF4-FFF2-40B4-BE49-F238E27FC236}">
              <a16:creationId xmlns:a16="http://schemas.microsoft.com/office/drawing/2014/main" id="{0F593DAD-C086-55B7-BBD2-CB5ABEA4D2C7}"/>
            </a:ext>
          </a:extLst>
        </cdr:cNvPr>
        <cdr:cNvSpPr txBox="1"/>
      </cdr:nvSpPr>
      <cdr:spPr>
        <a:xfrm xmlns:a="http://schemas.openxmlformats.org/drawingml/2006/main">
          <a:off x="1919549" y="699092"/>
          <a:ext cx="740833" cy="479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Financing </a:t>
          </a:r>
          <a:br>
            <a:rPr lang="en-IN" sz="1100" kern="1200"/>
          </a:br>
          <a:r>
            <a:rPr lang="en-IN" sz="1100" kern="1200"/>
            <a:t>Cash Flow</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Kumar" refreshedDate="46226.882628819447" createdVersion="8" refreshedVersion="8" minRefreshableVersion="3" recordCount="9" xr:uid="{99E348B3-FDE3-4BFC-B6B0-64C6C0DA37A2}">
  <cacheSource type="worksheet">
    <worksheetSource ref="A3:J12" sheet="Ratio analysis"/>
  </cacheSource>
  <cacheFields count="10">
    <cacheField name="Ratios" numFmtId="0">
      <sharedItems count="9">
        <s v="PROFITABILITY RATIOS"/>
        <s v="Revenue Growth"/>
        <s v="EBIT Margin"/>
        <s v="Net Profit Margin"/>
        <s v="Operating Cost Ratio"/>
        <s v="Employee Cost Ratio"/>
        <s v="Other Operating Cost Ratio"/>
        <s v="Effective Tax Rate"/>
        <s v="EBITDA Margin"/>
      </sharedItems>
    </cacheField>
    <cacheField name="Formula" numFmtId="0">
      <sharedItems containsBlank="1"/>
    </cacheField>
    <cacheField name="FY26" numFmtId="0">
      <sharedItems containsString="0" containsBlank="1" containsNumber="1" minValue="4.5812379564788272E-2" maxValue="0.74969009928058095"/>
    </cacheField>
    <cacheField name="FY25" numFmtId="0">
      <sharedItems containsString="0" containsBlank="1" containsNumber="1" minValue="5.9906265437351856E-2" maxValue="0.75652504269085552"/>
    </cacheField>
    <cacheField name="FY24" numFmtId="0">
      <sharedItems containsString="0" containsBlank="1" containsNumber="1" minValue="6.8460644554639891E-2" maxValue="0.75378695105295712"/>
    </cacheField>
    <cacheField name="FY23" numFmtId="0">
      <sharedItems containsString="0" containsBlank="1" containsNumber="1" minValue="0.17576686796624844" maxValue="0.75943634734629062"/>
    </cacheField>
    <cacheField name="FY22" numFmtId="0">
      <sharedItems containsString="0" containsBlank="1" containsNumber="1" minValue="0.16797115308478044" maxValue="0.74731687474576802"/>
    </cacheField>
    <cacheField name="FY21" numFmtId="0">
      <sharedItems containsString="0" containsBlank="1" containsNumber="1" minValue="0.18201087850307898" maxValue="0.74124877418883284"/>
    </cacheField>
    <cacheField name="Benchmark" numFmtId="0">
      <sharedItems containsBlank="1" containsMixedTypes="1" containsNumber="1" minValue="0.08" maxValue="0.78"/>
    </cacheField>
    <cacheField name="Commen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Kumar" refreshedDate="46226.908843171295" createdVersion="8" refreshedVersion="8" minRefreshableVersion="3" recordCount="7" xr:uid="{480BCBD2-F60D-47A2-97DE-08AB04CC3902}">
  <cacheSource type="worksheet">
    <worksheetSource ref="A68:G75" sheet="Ratio analysis"/>
  </cacheSource>
  <cacheFields count="7">
    <cacheField name="Ratios" numFmtId="0">
      <sharedItems count="7">
        <s v="Revenue Growth"/>
        <s v="EBIT Growth"/>
        <s v="PAT Growth"/>
        <s v="EPS Growth"/>
        <s v="Asset Growth"/>
        <s v="Equity Growth"/>
        <s v="Operating Cash Flow Growth"/>
      </sharedItems>
    </cacheField>
    <cacheField name="Formula" numFmtId="0">
      <sharedItems containsBlank="1"/>
    </cacheField>
    <cacheField name="FY26" numFmtId="166">
      <sharedItems containsSemiMixedTypes="0" containsString="0" containsNumber="1" minValue="4.5812379564788272E-2" maxValue="0.14247411184684486"/>
    </cacheField>
    <cacheField name="FY25" numFmtId="166">
      <sharedItems containsSemiMixedTypes="0" containsString="0" containsNumber="1" minValue="-0.38966708302531289" maxValue="0.1030718570977491"/>
    </cacheField>
    <cacheField name="FY24" numFmtId="166">
      <sharedItems containsSemiMixedTypes="0" containsString="0" containsNumber="1" minValue="5.6547122602168473E-2" maxValue="0.14694617431219484"/>
    </cacheField>
    <cacheField name="FY23" numFmtId="166">
      <sharedItems containsSemiMixedTypes="0" containsString="0" containsNumber="1" minValue="2.0537737173103785E-2" maxValue="0.17576686796624844"/>
    </cacheField>
    <cacheField name="FY22" numFmtId="166">
      <sharedItems containsSemiMixedTypes="0" containsString="0" containsNumber="1" minValue="2.9560331941652491E-2" maxValue="0.1686413871207091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Kumar" refreshedDate="46227.076623379631" createdVersion="8" refreshedVersion="8" minRefreshableVersion="3" recordCount="3" xr:uid="{5AB16248-B8C0-4D5A-ADF7-36674A885CDA}">
  <cacheSource type="worksheet">
    <worksheetSource ref="A40:H43" sheet="Ratio analysis"/>
  </cacheSource>
  <cacheFields count="8">
    <cacheField name="Ratios" numFmtId="0">
      <sharedItems count="3">
        <s v="Return on Equity(ROE)"/>
        <s v="Return on Asset(ROA)"/>
        <s v="Return on Capital Employed(ROCE)"/>
      </sharedItems>
    </cacheField>
    <cacheField name="Formula" numFmtId="0">
      <sharedItems/>
    </cacheField>
    <cacheField name="FY26" numFmtId="167">
      <sharedItems containsSemiMixedTypes="0" containsString="0" containsNumber="1" minValue="0.30888798570764414" maxValue="0.58607718141402809"/>
    </cacheField>
    <cacheField name="FY25" numFmtId="167">
      <sharedItems containsSemiMixedTypes="0" containsString="0" containsNumber="1" minValue="0.29092205508303198" maxValue="0.59812859307723765"/>
    </cacheField>
    <cacheField name="FY24" numFmtId="167">
      <sharedItems containsSemiMixedTypes="0" containsString="0" containsNumber="1" minValue="0.28504732942133892" maxValue="0.6179130289833934"/>
    </cacheField>
    <cacheField name="FY23" numFmtId="167">
      <sharedItems containsSemiMixedTypes="0" containsString="0" containsNumber="1" minValue="0.27881730708802061" maxValue="0.59440739543319943"/>
    </cacheField>
    <cacheField name="FY22" numFmtId="167">
      <sharedItems containsSemiMixedTypes="0" containsString="0" containsNumber="1" minValue="0.27606946575332597" maxValue="0.57164261865716548"/>
    </cacheField>
    <cacheField name="FY21" numFmtId="167">
      <sharedItems containsSemiMixedTypes="0" containsString="0" containsNumber="1" minValue="0.26077244503456087" maxValue="1.092534012293290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Kumar" refreshedDate="46227.083144328702" createdVersion="8" refreshedVersion="8" minRefreshableVersion="3" recordCount="3" xr:uid="{7C2A7990-D5C4-4516-A568-35FACBA181DB}">
  <cacheSource type="worksheet">
    <worksheetSource ref="A32:H35" sheet="Ratio analysis"/>
  </cacheSource>
  <cacheFields count="8">
    <cacheField name="Ratios" numFmtId="0">
      <sharedItems count="3">
        <s v="Debt to Equity"/>
        <s v="Debt Ratio"/>
        <s v="Equity Ratio"/>
      </sharedItems>
    </cacheField>
    <cacheField name="Formula" numFmtId="0">
      <sharedItems/>
    </cacheField>
    <cacheField name="FY26" numFmtId="2">
      <sharedItems containsSemiMixedTypes="0" containsString="0" containsNumber="1" minValue="0.10401187337524659" maxValue="0.59481718684885843"/>
    </cacheField>
    <cacheField name="FY25" numFmtId="2">
      <sharedItems containsSemiMixedTypes="0" containsString="0" containsNumber="1" minValue="9.8067264620814235E-2" maxValue="0.59995990703443614"/>
    </cacheField>
    <cacheField name="FY24" numFmtId="2">
      <sharedItems containsSemiMixedTypes="0" containsString="0" containsNumber="1" minValue="3.5713375309082564E-2" maxValue="0.90099794439531922"/>
    </cacheField>
    <cacheField name="FY23" numFmtId="2">
      <sharedItems containsSemiMixedTypes="0" containsString="0" containsNumber="1" minValue="3.9207087097623015E-2" maxValue="0.89595284872298619"/>
    </cacheField>
    <cacheField name="FY22" numFmtId="2">
      <sharedItems containsSemiMixedTypes="0" containsString="0" containsNumber="1" minValue="4.1704123509869066E-2" maxValue="0.85495933220608578"/>
    </cacheField>
    <cacheField name="FY21" numFmtId="2">
      <sharedItems containsSemiMixedTypes="0" containsString="0" containsNumber="1" minValue="4.6945013720518257E-2" maxValue="0.8994103174913109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Kumar" refreshedDate="46227.494803703703" createdVersion="8" refreshedVersion="8" minRefreshableVersion="3" recordCount="6" xr:uid="{8C070CD5-829D-43EA-A2A6-9F2ECAC469DF}">
  <cacheSource type="worksheet">
    <worksheetSource ref="A23:H29" sheet="Ratio analysis"/>
  </cacheSource>
  <cacheFields count="8">
    <cacheField name="Ratios" numFmtId="0">
      <sharedItems count="6">
        <s v="Total Asset Turnover"/>
        <s v="Fixed Asset Turnover"/>
        <s v="Receivable Days"/>
        <s v="Inventory Days"/>
        <s v="Payable Days"/>
        <s v="Cash Conversion Cycle"/>
      </sharedItems>
    </cacheField>
    <cacheField name="Formula" numFmtId="0">
      <sharedItems/>
    </cacheField>
    <cacheField name="FY26" numFmtId="167">
      <sharedItems containsSemiMixedTypes="0" containsString="0" containsNumber="1" minValue="-28.880919709829627" maxValue="115.56276007453179"/>
    </cacheField>
    <cacheField name="FY25" numFmtId="167">
      <sharedItems containsSemiMixedTypes="0" containsString="0" containsNumber="1" minValue="-23.691214526387398" maxValue="97.498550417013959"/>
    </cacheField>
    <cacheField name="FY24" numFmtId="167">
      <sharedItems containsSemiMixedTypes="0" containsString="0" containsNumber="1" minValue="-21.458934922943172" maxValue="87.38455628861891"/>
    </cacheField>
    <cacheField name="FY23" numFmtId="167">
      <sharedItems containsSemiMixedTypes="0" containsString="0" containsNumber="1" minValue="-20.181760271660167" maxValue="84.097452999340035"/>
    </cacheField>
    <cacheField name="FY22" numFmtId="167">
      <sharedItems containsSemiMixedTypes="0" containsString="0" containsNumber="1" minValue="-21.438539510238641" maxValue="84.974616366947899"/>
    </cacheField>
    <cacheField name="FY21" numFmtId="167">
      <sharedItems containsSemiMixedTypes="0" containsString="0" containsNumber="1" minValue="-23.742939531543911" maxValue="91.8408575466736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m/>
    <m/>
    <m/>
    <m/>
    <m/>
    <m/>
    <m/>
    <m/>
    <m/>
  </r>
  <r>
    <x v="1"/>
    <s v="(Current Revenue - Previous Revenue)/ Previous Revenue"/>
    <n v="4.5812379564788272E-2"/>
    <n v="5.9906265437351856E-2"/>
    <n v="6.8460644554639891E-2"/>
    <n v="0.17576686796624844"/>
    <n v="0.16797115308478044"/>
    <m/>
    <n v="0.08"/>
    <s v="Below Benchmark"/>
  </r>
  <r>
    <x v="2"/>
    <s v="EBIT / Revenue"/>
    <n v="0.25030990071941905"/>
    <n v="0.24347495730914445"/>
    <n v="0.24621304894704288"/>
    <n v="0.24056365265370933"/>
    <n v="0.25268312525423198"/>
    <n v="0.25875122581116722"/>
    <n v="0.22"/>
    <s v="Above Benchmark"/>
  </r>
  <r>
    <x v="3"/>
    <s v="PAT / Revenue"/>
    <n v="0.19781215709625835"/>
    <n v="0.1901623035828986"/>
    <n v="0.19338461474596605"/>
    <n v="0.18693947431450647"/>
    <n v="0.19987588264130082"/>
    <n v="0.20336587950809187"/>
    <n v="0.18"/>
    <s v="Above Benchmark"/>
  </r>
  <r>
    <x v="4"/>
    <s v="Operating Cost / Revenue"/>
    <n v="0.74969009928058095"/>
    <n v="0.75652504269085552"/>
    <n v="0.75378695105295712"/>
    <n v="0.75943634734629062"/>
    <n v="0.74731687474576802"/>
    <n v="0.74124877418883284"/>
    <n v="0.78"/>
    <s v="At Benchmark"/>
  </r>
  <r>
    <x v="5"/>
    <s v="Employee Cost / Revenue"/>
    <n v="0.58045621879927045"/>
    <n v="0.57099215114912816"/>
    <n v="0.5817147032084784"/>
    <n v="0.56561310754109417"/>
    <n v="0.56089573098866252"/>
    <n v="0.55923789568575377"/>
    <n v="0.55000000000000004"/>
    <s v="Worse than Benchmark"/>
  </r>
  <r>
    <x v="6"/>
    <s v="Other Operating Cost / Revenue"/>
    <n v="0.16923388048131047"/>
    <n v="0.18553289154172736"/>
    <n v="0.17207224784447867"/>
    <n v="0.19382323980519653"/>
    <n v="0.18642114375710545"/>
    <n v="0.18201087850307898"/>
    <n v="0.23"/>
    <s v="Better than Benchmark"/>
  </r>
  <r>
    <x v="7"/>
    <s v="Tax Expense / PBT"/>
    <n v="0.24923601734062967"/>
    <n v="0.25681529442378043"/>
    <n v="0.26100130080269046"/>
    <n v="0.25937055195318676"/>
    <n v="0.25847892119875404"/>
    <n v="0.25768153319400594"/>
    <n v="0.23"/>
    <s v="Better than Benchmark"/>
  </r>
  <r>
    <x v="8"/>
    <s v="EBITDA / Revenue"/>
    <n v="0.27113223304534101"/>
    <n v="0.26400573389105608"/>
    <n v="0.26690688396923118"/>
    <n v="0.26283831134845514"/>
    <n v="0.27669305464292793"/>
    <n v="0.28351108864213626"/>
    <e v="#DI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Current Revenue - Previous Revenue) / Previous Revenue"/>
    <n v="4.5812379564788272E-2"/>
    <n v="5.9906265437351856E-2"/>
    <n v="6.8460644554639891E-2"/>
    <n v="0.17576686796624844"/>
    <n v="0.16797115308478044"/>
  </r>
  <r>
    <x v="1"/>
    <m/>
    <n v="8.7883343974625661E-2"/>
    <n v="4.2245357947837285E-2"/>
    <n v="0.10529812323534296"/>
    <n v="9.9668640905888797E-2"/>
    <n v="0.14792739906553254"/>
  </r>
  <r>
    <x v="2"/>
    <m/>
    <n v="8.7883343974625661E-2"/>
    <n v="4.2245357947837285E-2"/>
    <n v="0.10529812323534296"/>
    <n v="9.9668640905888797E-2"/>
    <n v="0.14792739906553254"/>
  </r>
  <r>
    <x v="3"/>
    <m/>
    <n v="8.7935017512482394E-2"/>
    <n v="5.0493189290746851E-2"/>
    <n v="0.10895042972480248"/>
    <n v="0.11165798108473261"/>
    <n v="0.16074829169933919"/>
  </r>
  <r>
    <x v="4"/>
    <m/>
    <n v="0.14247411184684486"/>
    <n v="-8.3424246948173492E-2"/>
    <n v="0.14052390307793058"/>
    <n v="2.0537737173103785E-2"/>
    <n v="0.16864138712070917"/>
  </r>
  <r>
    <x v="5"/>
    <m/>
    <n v="0.13268108300007309"/>
    <n v="-0.38966708302531289"/>
    <n v="0.14694617431219484"/>
    <n v="6.9470392808286111E-2"/>
    <n v="0.11088436555628886"/>
  </r>
  <r>
    <x v="6"/>
    <m/>
    <n v="6.5142716937924269E-2"/>
    <n v="0.1030718570977491"/>
    <n v="5.6547122602168473E-2"/>
    <n v="5.0464342036096024E-2"/>
    <n v="2.9560331941652491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s v="PAT/Average Equity"/>
    <n v="0.51721183457446551"/>
    <n v="0.38429361225547815"/>
    <n v="0.31719822420742999"/>
    <n v="0.31840656953882535"/>
    <n v="0.31534344518905222"/>
    <n v="0.28993712876445865"/>
  </r>
  <r>
    <x v="1"/>
    <s v="PAT/Average Total Assets"/>
    <n v="0.30888798570764414"/>
    <n v="0.29092205508303198"/>
    <n v="0.28504732942133892"/>
    <n v="0.27881730708802061"/>
    <n v="0.27606946575332597"/>
    <n v="0.26077244503456087"/>
  </r>
  <r>
    <x v="2"/>
    <s v="EBIT/Average(Total Assets - Current Liabilities)"/>
    <n v="0.58607718141402809"/>
    <n v="0.59812859307723765"/>
    <n v="0.6179130289833934"/>
    <n v="0.59440739543319943"/>
    <n v="0.57164261865716548"/>
    <n v="1.092534012293290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s v="Total Debt/Total Equity"/>
    <n v="0.10401187337524659"/>
    <n v="9.8067264620814235E-2"/>
    <n v="3.5713375309082564E-2"/>
    <n v="3.9207087097623015E-2"/>
    <n v="4.1704123509869066E-2"/>
    <n v="4.6945013720518257E-2"/>
  </r>
  <r>
    <x v="1"/>
    <s v="Total Liabilities/Total Assets"/>
    <n v="0.40518281315114163"/>
    <n v="0.40004009296556392"/>
    <n v="0.45234786802788274"/>
    <n v="0.4445841519318926"/>
    <n v="0.42573867015979738"/>
    <n v="0.43643534970906395"/>
  </r>
  <r>
    <x v="2"/>
    <s v="Total Equity/Total Assets"/>
    <n v="0.59481718684885843"/>
    <n v="0.59995990703443614"/>
    <n v="0.90099794439531922"/>
    <n v="0.89595284872298619"/>
    <n v="0.85495933220608578"/>
    <n v="0.8994103174913109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Revenue/Average Total Assets"/>
    <n v="1.5615217499364038"/>
    <n v="1.5298618580112466"/>
    <n v="1.4739917640076119"/>
    <n v="1.4914843861117266"/>
    <n v="1.3812044860297772"/>
    <n v="1.2822821884640918"/>
  </r>
  <r>
    <x v="1"/>
    <s v="Revenue/Average PPE"/>
    <n v="20.660863509749305"/>
    <n v="21.999310701361363"/>
    <n v="21.75990244343074"/>
    <n v="19.492326978774912"/>
    <n v="16.201596890710153"/>
    <n v="13.826595923867274"/>
  </r>
  <r>
    <x v="2"/>
    <s v="Average Trade Receivables/Revenue from Operation*365"/>
    <n v="86.636257073413702"/>
    <n v="73.760095016528027"/>
    <n v="65.869338253913554"/>
    <n v="63.866662526945149"/>
    <n v="63.502964736068087"/>
    <n v="68.07692307692308"/>
  </r>
  <r>
    <x v="3"/>
    <s v="Average Inventory/Operating Cost×365"/>
    <n v="4.5583291288471051E-2"/>
    <n v="4.7240874098540588E-2"/>
    <n v="5.6283111762179074E-2"/>
    <n v="4.9030200734722959E-2"/>
    <n v="3.3112120641167891E-2"/>
    <n v="2.0994938206678939E-2"/>
  </r>
  <r>
    <x v="4"/>
    <s v="Average Trade Payables/Operating Cost×365"/>
    <n v="115.56276007453179"/>
    <n v="97.498550417013959"/>
    <n v="87.38455628861891"/>
    <n v="84.097452999340035"/>
    <n v="84.974616366947899"/>
    <n v="91.840857546673675"/>
  </r>
  <r>
    <x v="5"/>
    <s v="Inventory Days+Receivable Days-Payable Days"/>
    <n v="-28.880919709829627"/>
    <n v="-23.691214526387398"/>
    <n v="-21.458934922943172"/>
    <n v="-20.181760271660167"/>
    <n v="-21.438539510238641"/>
    <n v="-23.742939531543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CE267E-E4F9-434B-88A8-B4799CF3BD10}" name="PivotTable12" cacheId="25"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9:G52" firstHeaderRow="0" firstDataRow="1" firstDataCol="1"/>
  <pivotFields count="8">
    <pivotField axis="axisRow" showAll="0">
      <items count="7">
        <item x="5"/>
        <item h="1" x="1"/>
        <item h="1" x="3"/>
        <item h="1" x="4"/>
        <item x="2"/>
        <item h="1" x="0"/>
        <item t="default"/>
      </items>
    </pivotField>
    <pivotField showAll="0"/>
    <pivotField dataField="1" numFmtId="167" showAll="0"/>
    <pivotField dataField="1" numFmtId="167" showAll="0"/>
    <pivotField dataField="1" numFmtId="167" showAll="0"/>
    <pivotField dataField="1" numFmtId="167" showAll="0"/>
    <pivotField dataField="1" numFmtId="167" showAll="0"/>
    <pivotField dataField="1" numFmtId="167" showAll="0"/>
  </pivotFields>
  <rowFields count="1">
    <field x="0"/>
  </rowFields>
  <rowItems count="3">
    <i>
      <x/>
    </i>
    <i>
      <x v="4"/>
    </i>
    <i t="grand">
      <x/>
    </i>
  </rowItems>
  <colFields count="1">
    <field x="-2"/>
  </colFields>
  <colItems count="6">
    <i>
      <x/>
    </i>
    <i i="1">
      <x v="1"/>
    </i>
    <i i="2">
      <x v="2"/>
    </i>
    <i i="3">
      <x v="3"/>
    </i>
    <i i="4">
      <x v="4"/>
    </i>
    <i i="5">
      <x v="5"/>
    </i>
  </colItems>
  <dataFields count="6">
    <dataField name="2026" fld="2" baseField="0" baseItem="0" numFmtId="167"/>
    <dataField name="2025" fld="3" baseField="0" baseItem="0" numFmtId="167"/>
    <dataField name="2024" fld="4" baseField="0" baseItem="0" numFmtId="167"/>
    <dataField name="2023" fld="5" baseField="0" baseItem="0" numFmtId="167"/>
    <dataField name="2022" fld="6" baseField="0" baseItem="0" numFmtId="167"/>
    <dataField name="2021" fld="7" baseField="0" baseItem="0" numFmtId="167"/>
  </dataFields>
  <chartFormats count="6">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1F6878-35C2-457E-9C42-3422E7AF3046}" name="PivotTable11" cacheId="2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E47" firstHeaderRow="1" firstDataRow="2" firstDataCol="1"/>
  <pivotFields count="8">
    <pivotField axis="axisCol" showAll="0">
      <items count="4">
        <item n="ROA" x="1"/>
        <item n="ROCE" x="2"/>
        <item n="ROE" x="0"/>
        <item t="default"/>
      </items>
    </pivotField>
    <pivotField showAll="0"/>
    <pivotField dataField="1" numFmtId="167" showAll="0"/>
    <pivotField dataField="1" numFmtId="167" showAll="0"/>
    <pivotField dataField="1" numFmtId="167" showAll="0"/>
    <pivotField dataField="1" numFmtId="167" showAll="0"/>
    <pivotField dataField="1" numFmtId="167" showAll="0"/>
    <pivotField dataField="1" numFmtId="167" showAll="0"/>
  </pivotFields>
  <rowFields count="1">
    <field x="-2"/>
  </rowFields>
  <rowItems count="6">
    <i>
      <x/>
    </i>
    <i i="1">
      <x v="1"/>
    </i>
    <i i="2">
      <x v="2"/>
    </i>
    <i i="3">
      <x v="3"/>
    </i>
    <i i="4">
      <x v="4"/>
    </i>
    <i i="5">
      <x v="5"/>
    </i>
  </rowItems>
  <colFields count="1">
    <field x="0"/>
  </colFields>
  <colItems count="4">
    <i>
      <x/>
    </i>
    <i>
      <x v="1"/>
    </i>
    <i>
      <x v="2"/>
    </i>
    <i t="grand">
      <x/>
    </i>
  </colItems>
  <dataFields count="6">
    <dataField name="2026" fld="2" baseField="0" baseItem="0" numFmtId="167"/>
    <dataField name="2025" fld="3" baseField="0" baseItem="0" numFmtId="167"/>
    <dataField name="2024" fld="4" baseField="0" baseItem="0" numFmtId="167"/>
    <dataField name="2023" fld="5" baseField="0" baseItem="0" numFmtId="167"/>
    <dataField name="2022" fld="6" baseField="0" baseItem="0" numFmtId="167"/>
    <dataField name="2021" fld="7" baseField="0" baseItem="0" numFmtId="167"/>
  </dataFields>
  <chartFormats count="3">
    <chartFormat chart="7" format="9" series="1">
      <pivotArea type="data" outline="0" fieldPosition="0">
        <references count="2">
          <reference field="4294967294" count="1" selected="0">
            <x v="0"/>
          </reference>
          <reference field="0" count="1" selected="0">
            <x v="0"/>
          </reference>
        </references>
      </pivotArea>
    </chartFormat>
    <chartFormat chart="7" format="10" series="1">
      <pivotArea type="data" outline="0" fieldPosition="0">
        <references count="2">
          <reference field="4294967294" count="1" selected="0">
            <x v="0"/>
          </reference>
          <reference field="0" count="1" selected="0">
            <x v="1"/>
          </reference>
        </references>
      </pivotArea>
    </chartFormat>
    <chartFormat chart="7" format="11"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5B0C1D-7D83-47C8-BB45-372450190A2A}"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4:G37" firstHeaderRow="0" firstDataRow="1" firstDataCol="1"/>
  <pivotFields count="8">
    <pivotField axis="axisRow" showAll="0">
      <items count="4">
        <item x="1"/>
        <item h="1" x="0"/>
        <item x="2"/>
        <item t="default"/>
      </items>
    </pivotField>
    <pivotField showAll="0"/>
    <pivotField dataField="1" numFmtId="2" showAll="0"/>
    <pivotField dataField="1" numFmtId="2" showAll="0"/>
    <pivotField dataField="1" numFmtId="2" showAll="0"/>
    <pivotField dataField="1" numFmtId="2" showAll="0"/>
    <pivotField dataField="1" numFmtId="2" showAll="0"/>
    <pivotField dataField="1" numFmtId="2" showAll="0"/>
  </pivotFields>
  <rowFields count="1">
    <field x="0"/>
  </rowFields>
  <rowItems count="3">
    <i>
      <x/>
    </i>
    <i>
      <x v="2"/>
    </i>
    <i t="grand">
      <x/>
    </i>
  </rowItems>
  <colFields count="1">
    <field x="-2"/>
  </colFields>
  <colItems count="6">
    <i>
      <x/>
    </i>
    <i i="1">
      <x v="1"/>
    </i>
    <i i="2">
      <x v="2"/>
    </i>
    <i i="3">
      <x v="3"/>
    </i>
    <i i="4">
      <x v="4"/>
    </i>
    <i i="5">
      <x v="5"/>
    </i>
  </colItems>
  <dataFields count="6">
    <dataField name="2021" fld="7" baseField="0" baseItem="0" numFmtId="2"/>
    <dataField name="2022" fld="6" baseField="0" baseItem="0" numFmtId="2"/>
    <dataField name="2023" fld="5" baseField="0" baseItem="0" numFmtId="2"/>
    <dataField name="2024" fld="4" baseField="0" baseItem="0" numFmtId="2"/>
    <dataField name="2025" fld="3" baseField="0" baseItem="0" numFmtId="2"/>
    <dataField name="2026" fld="2" baseField="0" baseItem="0" numFmtId="2"/>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17" format="12"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 chart="17" format="14" series="1">
      <pivotArea type="data" outline="0" fieldPosition="0">
        <references count="1">
          <reference field="4294967294" count="1" selected="0">
            <x v="2"/>
          </reference>
        </references>
      </pivotArea>
    </chartFormat>
    <chartFormat chart="17" format="15" series="1">
      <pivotArea type="data" outline="0" fieldPosition="0">
        <references count="1">
          <reference field="4294967294" count="1" selected="0">
            <x v="3"/>
          </reference>
        </references>
      </pivotArea>
    </chartFormat>
    <chartFormat chart="17" format="16" series="1">
      <pivotArea type="data" outline="0" fieldPosition="0">
        <references count="1">
          <reference field="4294967294" count="1" selected="0">
            <x v="4"/>
          </reference>
        </references>
      </pivotArea>
    </chartFormat>
    <chartFormat chart="17"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CF2AED-212E-40EC-B100-C7335D6A0DD2}" name="PivotTable7" cacheId="2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E32" firstHeaderRow="1" firstDataRow="2" firstDataCol="1"/>
  <pivotFields count="8">
    <pivotField axis="axisCol" showAll="0">
      <items count="4">
        <item x="1"/>
        <item x="2"/>
        <item x="0"/>
        <item t="default"/>
      </items>
    </pivotField>
    <pivotField showAll="0"/>
    <pivotField dataField="1" numFmtId="167" showAll="0"/>
    <pivotField dataField="1" numFmtId="167" showAll="0"/>
    <pivotField dataField="1" numFmtId="167" showAll="0"/>
    <pivotField dataField="1" numFmtId="167" showAll="0"/>
    <pivotField dataField="1" numFmtId="167" showAll="0"/>
    <pivotField dataField="1" numFmtId="167" showAll="0"/>
  </pivotFields>
  <rowFields count="1">
    <field x="-2"/>
  </rowFields>
  <rowItems count="6">
    <i>
      <x/>
    </i>
    <i i="1">
      <x v="1"/>
    </i>
    <i i="2">
      <x v="2"/>
    </i>
    <i i="3">
      <x v="3"/>
    </i>
    <i i="4">
      <x v="4"/>
    </i>
    <i i="5">
      <x v="5"/>
    </i>
  </rowItems>
  <colFields count="1">
    <field x="0"/>
  </colFields>
  <colItems count="4">
    <i>
      <x/>
    </i>
    <i>
      <x v="1"/>
    </i>
    <i>
      <x v="2"/>
    </i>
    <i t="grand">
      <x/>
    </i>
  </colItems>
  <dataFields count="6">
    <dataField name="2026" fld="2" baseField="0" baseItem="0" numFmtId="167"/>
    <dataField name="2025" fld="3" baseField="0" baseItem="0" numFmtId="167"/>
    <dataField name="2024" fld="4" baseField="0" baseItem="0" numFmtId="167"/>
    <dataField name="2023" fld="5" baseField="0" baseItem="0" numFmtId="167"/>
    <dataField name="2022" fld="6" baseField="0" baseItem="0" numFmtId="167"/>
    <dataField name="2021" fld="7"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140963-8497-4CD9-9273-79DBD617F4D3}" name="PivotTable3"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3:K9" firstHeaderRow="1" firstDataRow="2" firstDataCol="1"/>
  <pivotFields count="7">
    <pivotField axis="axisCol" showAll="0">
      <items count="8">
        <item h="1" x="4"/>
        <item h="1" x="1"/>
        <item x="3"/>
        <item h="1" x="5"/>
        <item h="1" x="6"/>
        <item x="2"/>
        <item x="0"/>
        <item t="default"/>
      </items>
    </pivotField>
    <pivotField showAll="0"/>
    <pivotField dataField="1" numFmtId="166" showAll="0"/>
    <pivotField dataField="1" numFmtId="166" showAll="0"/>
    <pivotField dataField="1" numFmtId="166" showAll="0"/>
    <pivotField dataField="1" numFmtId="166" showAll="0"/>
    <pivotField dataField="1" numFmtId="166" showAll="0"/>
  </pivotFields>
  <rowFields count="1">
    <field x="-2"/>
  </rowFields>
  <rowItems count="5">
    <i>
      <x/>
    </i>
    <i i="1">
      <x v="1"/>
    </i>
    <i i="2">
      <x v="2"/>
    </i>
    <i i="3">
      <x v="3"/>
    </i>
    <i i="4">
      <x v="4"/>
    </i>
  </rowItems>
  <colFields count="1">
    <field x="0"/>
  </colFields>
  <colItems count="4">
    <i>
      <x v="2"/>
    </i>
    <i>
      <x v="5"/>
    </i>
    <i>
      <x v="6"/>
    </i>
    <i t="grand">
      <x/>
    </i>
  </colItems>
  <dataFields count="5">
    <dataField name="2026" fld="2" baseField="0" baseItem="2" numFmtId="166"/>
    <dataField name="2025" fld="3" baseField="0" baseItem="0" numFmtId="166"/>
    <dataField name="2024" fld="4" baseField="0" baseItem="0" numFmtId="166"/>
    <dataField name="2023" fld="5" baseField="0" baseItem="0" numFmtId="166"/>
    <dataField name="2022" fld="6" baseField="0" baseItem="0" numFmtId="166"/>
  </dataFields>
  <formats count="1">
    <format dxfId="0">
      <pivotArea outline="0" collapsedLevelsAreSubtotals="1" fieldPosition="0"/>
    </format>
  </formats>
  <chartFormats count="8">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2"/>
          </reference>
        </references>
      </pivotArea>
    </chartFormat>
    <chartFormat chart="8" format="13" series="1">
      <pivotArea type="data" outline="0" fieldPosition="0">
        <references count="1">
          <reference field="4294967294" count="1" selected="0">
            <x v="3"/>
          </reference>
        </references>
      </pivotArea>
    </chartFormat>
    <chartFormat chart="8" format="14" series="1">
      <pivotArea type="data" outline="0" fieldPosition="0">
        <references count="1">
          <reference field="4294967294" count="1" selected="0">
            <x v="4"/>
          </reference>
        </references>
      </pivotArea>
    </chartFormat>
    <chartFormat chart="8" format="15" series="1">
      <pivotArea type="data" outline="0" fieldPosition="0">
        <references count="2">
          <reference field="4294967294" count="1" selected="0">
            <x v="0"/>
          </reference>
          <reference field="0" count="1" selected="0">
            <x v="2"/>
          </reference>
        </references>
      </pivotArea>
    </chartFormat>
    <chartFormat chart="8" format="16" series="1">
      <pivotArea type="data" outline="0" fieldPosition="0">
        <references count="2">
          <reference field="4294967294" count="1" selected="0">
            <x v="0"/>
          </reference>
          <reference field="0" count="1" selected="0">
            <x v="5"/>
          </reference>
        </references>
      </pivotArea>
    </chartFormat>
    <chartFormat chart="8" format="17"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0AA792-65F4-4818-AA6C-FEACFC04105D}"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E10" firstHeaderRow="1" firstDataRow="2" firstDataCol="1"/>
  <pivotFields count="10">
    <pivotField axis="axisCol" showAll="0">
      <items count="10">
        <item x="2"/>
        <item x="8"/>
        <item h="1" x="7"/>
        <item h="1" x="5"/>
        <item x="3"/>
        <item h="1" x="4"/>
        <item h="1" x="6"/>
        <item h="1" x="0"/>
        <item h="1" x="1"/>
        <item t="default"/>
      </items>
    </pivotField>
    <pivotField showAll="0"/>
    <pivotField dataField="1" showAll="0"/>
    <pivotField dataField="1" showAll="0"/>
    <pivotField dataField="1" showAll="0"/>
    <pivotField dataField="1" showAll="0"/>
    <pivotField dataField="1" showAll="0"/>
    <pivotField dataField="1" showAll="0"/>
    <pivotField showAll="0"/>
    <pivotField showAll="0"/>
  </pivotFields>
  <rowFields count="1">
    <field x="-2"/>
  </rowFields>
  <rowItems count="6">
    <i>
      <x/>
    </i>
    <i i="1">
      <x v="1"/>
    </i>
    <i i="2">
      <x v="2"/>
    </i>
    <i i="3">
      <x v="3"/>
    </i>
    <i i="4">
      <x v="4"/>
    </i>
    <i i="5">
      <x v="5"/>
    </i>
  </rowItems>
  <colFields count="1">
    <field x="0"/>
  </colFields>
  <colItems count="4">
    <i>
      <x/>
    </i>
    <i>
      <x v="1"/>
    </i>
    <i>
      <x v="4"/>
    </i>
    <i t="grand">
      <x/>
    </i>
  </colItems>
  <dataFields count="6">
    <dataField name="2026" fld="2" baseField="0" baseItem="0"/>
    <dataField name="2025" fld="3" baseField="0" baseItem="0"/>
    <dataField name="2024" fld="4" baseField="0" baseItem="0"/>
    <dataField name="2023" fld="5" baseField="0" baseItem="0"/>
    <dataField name="2022" fld="6" baseField="0" baseItem="0"/>
    <dataField name="2021" fld="7" baseField="0" baseItem="0"/>
  </dataFields>
  <formats count="1">
    <format dxfId="1">
      <pivotArea collapsedLevelsAreSubtotals="1" fieldPosition="0">
        <references count="1">
          <reference field="0" count="0"/>
        </references>
      </pivotArea>
    </format>
  </formats>
  <chartFormats count="3">
    <chartFormat chart="15" format="12" series="1">
      <pivotArea type="data" outline="0" fieldPosition="0">
        <references count="2">
          <reference field="4294967294" count="1" selected="0">
            <x v="0"/>
          </reference>
          <reference field="0" count="1" selected="0">
            <x v="0"/>
          </reference>
        </references>
      </pivotArea>
    </chartFormat>
    <chartFormat chart="15" format="13" series="1">
      <pivotArea type="data" outline="0" fieldPosition="0">
        <references count="2">
          <reference field="4294967294" count="1" selected="0">
            <x v="0"/>
          </reference>
          <reference field="0" count="1" selected="0">
            <x v="1"/>
          </reference>
        </references>
      </pivotArea>
    </chartFormat>
    <chartFormat chart="15"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9C2E5-7519-422D-8528-138AB15F9D28}">
  <dimension ref="A1:G15"/>
  <sheetViews>
    <sheetView zoomScale="104" zoomScaleNormal="100" workbookViewId="0">
      <selection activeCell="A14" sqref="A14"/>
    </sheetView>
  </sheetViews>
  <sheetFormatPr defaultRowHeight="18" x14ac:dyDescent="0.4"/>
  <cols>
    <col min="1" max="1" width="31.54296875" style="10" customWidth="1"/>
    <col min="2" max="2" width="11.08984375" style="10" customWidth="1"/>
    <col min="3" max="3" width="11.90625" style="10" customWidth="1"/>
    <col min="4" max="4" width="11.7265625" style="10" customWidth="1"/>
    <col min="5" max="5" width="11.90625" style="10" customWidth="1"/>
    <col min="6" max="6" width="12.54296875" style="10" customWidth="1"/>
    <col min="7" max="7" width="11.54296875" style="10" customWidth="1"/>
    <col min="8" max="16384" width="8.7265625" style="10"/>
  </cols>
  <sheetData>
    <row r="1" spans="1:7" x14ac:dyDescent="0.4">
      <c r="A1" s="8" t="s">
        <v>0</v>
      </c>
      <c r="B1" s="9" t="s">
        <v>10</v>
      </c>
      <c r="C1" s="1" t="s">
        <v>5</v>
      </c>
      <c r="D1" s="9" t="s">
        <v>4</v>
      </c>
      <c r="E1" s="1" t="s">
        <v>3</v>
      </c>
      <c r="F1" s="1" t="s">
        <v>2</v>
      </c>
      <c r="G1" s="2" t="s">
        <v>1</v>
      </c>
    </row>
    <row r="2" spans="1:7" x14ac:dyDescent="0.4">
      <c r="A2" s="11" t="s">
        <v>11</v>
      </c>
      <c r="B2" s="12">
        <v>267021</v>
      </c>
      <c r="C2" s="4">
        <v>255324</v>
      </c>
      <c r="D2" s="12">
        <v>240893</v>
      </c>
      <c r="E2" s="4">
        <v>225458</v>
      </c>
      <c r="F2" s="4">
        <v>191754</v>
      </c>
      <c r="G2" s="5">
        <v>164177</v>
      </c>
    </row>
    <row r="3" spans="1:7" x14ac:dyDescent="0.4">
      <c r="A3" s="13" t="s">
        <v>12</v>
      </c>
      <c r="B3" s="12">
        <v>154994</v>
      </c>
      <c r="C3" s="4">
        <v>145788</v>
      </c>
      <c r="D3" s="12">
        <v>140131</v>
      </c>
      <c r="E3" s="4">
        <v>127522</v>
      </c>
      <c r="F3" s="4">
        <v>107554</v>
      </c>
      <c r="G3" s="5">
        <v>91814</v>
      </c>
    </row>
    <row r="4" spans="1:7" x14ac:dyDescent="0.4">
      <c r="A4" s="13" t="s">
        <v>13</v>
      </c>
      <c r="B4" s="12">
        <v>45189</v>
      </c>
      <c r="C4" s="4">
        <v>47371</v>
      </c>
      <c r="D4" s="12">
        <v>41451</v>
      </c>
      <c r="E4" s="4">
        <v>43699</v>
      </c>
      <c r="F4" s="4">
        <v>35747</v>
      </c>
      <c r="G4" s="5">
        <v>29882</v>
      </c>
    </row>
    <row r="5" spans="1:7" ht="18.5" thickBot="1" x14ac:dyDescent="0.45">
      <c r="A5" s="244" t="s">
        <v>14</v>
      </c>
      <c r="B5" s="245">
        <v>200183</v>
      </c>
      <c r="C5" s="246">
        <v>193159</v>
      </c>
      <c r="D5" s="245">
        <v>181582</v>
      </c>
      <c r="E5" s="246">
        <v>171221</v>
      </c>
      <c r="F5" s="246">
        <v>143301</v>
      </c>
      <c r="G5" s="247">
        <v>121696</v>
      </c>
    </row>
    <row r="6" spans="1:7" x14ac:dyDescent="0.4">
      <c r="A6" s="13" t="s">
        <v>15</v>
      </c>
      <c r="B6" s="12">
        <v>66838</v>
      </c>
      <c r="C6" s="4">
        <v>62165</v>
      </c>
      <c r="D6" s="12">
        <v>59311</v>
      </c>
      <c r="E6" s="4">
        <v>54237</v>
      </c>
      <c r="F6" s="4">
        <v>48453</v>
      </c>
      <c r="G6" s="5">
        <v>42481</v>
      </c>
    </row>
    <row r="7" spans="1:7" x14ac:dyDescent="0.4">
      <c r="A7" s="13" t="s">
        <v>7</v>
      </c>
      <c r="B7" s="12">
        <v>70355</v>
      </c>
      <c r="C7" s="4">
        <v>65331</v>
      </c>
      <c r="D7" s="12">
        <v>63038</v>
      </c>
      <c r="E7" s="4">
        <v>56907</v>
      </c>
      <c r="F7" s="4">
        <v>51687</v>
      </c>
      <c r="G7" s="5">
        <v>44978</v>
      </c>
    </row>
    <row r="8" spans="1:7" x14ac:dyDescent="0.4">
      <c r="A8" s="13" t="s">
        <v>8</v>
      </c>
      <c r="B8" s="12">
        <v>52820</v>
      </c>
      <c r="C8" s="4">
        <v>48553</v>
      </c>
      <c r="D8" s="12">
        <v>46585</v>
      </c>
      <c r="E8" s="4">
        <v>42147</v>
      </c>
      <c r="F8" s="4">
        <v>38327</v>
      </c>
      <c r="G8" s="5">
        <v>33388</v>
      </c>
    </row>
    <row r="9" spans="1:7" ht="18.5" thickBot="1" x14ac:dyDescent="0.45">
      <c r="A9" s="14" t="s">
        <v>16</v>
      </c>
      <c r="B9" s="15">
        <v>145.99</v>
      </c>
      <c r="C9" s="6">
        <v>134.19</v>
      </c>
      <c r="D9" s="15">
        <v>127.74</v>
      </c>
      <c r="E9" s="6">
        <v>115.19</v>
      </c>
      <c r="F9" s="6">
        <v>103.62</v>
      </c>
      <c r="G9" s="7">
        <v>89.27</v>
      </c>
    </row>
    <row r="10" spans="1:7" x14ac:dyDescent="0.4">
      <c r="A10" s="16"/>
      <c r="B10" s="17"/>
      <c r="C10" s="17"/>
      <c r="D10" s="17"/>
      <c r="E10" s="17"/>
      <c r="F10" s="17"/>
      <c r="G10" s="17"/>
    </row>
    <row r="11" spans="1:7" x14ac:dyDescent="0.4">
      <c r="A11" s="16"/>
      <c r="B11" s="42"/>
      <c r="C11" s="18"/>
      <c r="D11" s="18"/>
      <c r="E11" s="18"/>
      <c r="F11" s="18"/>
      <c r="G11" s="18"/>
    </row>
    <row r="12" spans="1:7" x14ac:dyDescent="0.4">
      <c r="A12" s="19"/>
      <c r="B12" s="18"/>
      <c r="C12" s="18"/>
      <c r="D12" s="18"/>
      <c r="E12" s="18"/>
      <c r="F12" s="18"/>
      <c r="G12" s="18"/>
    </row>
    <row r="13" spans="1:7" x14ac:dyDescent="0.4">
      <c r="A13" s="19"/>
      <c r="B13" s="17"/>
      <c r="C13" s="17"/>
      <c r="D13" s="19"/>
      <c r="E13" s="19"/>
      <c r="F13" s="19"/>
      <c r="G13" s="19"/>
    </row>
    <row r="14" spans="1:7" x14ac:dyDescent="0.4">
      <c r="A14" s="19"/>
      <c r="B14" s="17"/>
      <c r="C14" s="17"/>
      <c r="D14" s="18"/>
      <c r="E14" s="18"/>
      <c r="F14" s="18"/>
      <c r="G14" s="18"/>
    </row>
    <row r="15" spans="1:7" x14ac:dyDescent="0.4">
      <c r="A15" s="19"/>
      <c r="B15" s="16"/>
      <c r="C15" s="19"/>
      <c r="D15" s="19"/>
      <c r="E15" s="19"/>
      <c r="F15" s="19"/>
      <c r="G15"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E1B4C-C59F-4748-9859-FC38959DDBA2}">
  <dimension ref="A1:G6"/>
  <sheetViews>
    <sheetView workbookViewId="0">
      <selection activeCell="B10" sqref="B10"/>
    </sheetView>
  </sheetViews>
  <sheetFormatPr defaultRowHeight="18" x14ac:dyDescent="0.4"/>
  <cols>
    <col min="1" max="1" width="25.54296875" style="10" customWidth="1"/>
    <col min="2" max="2" width="9.90625" style="10" bestFit="1" customWidth="1"/>
    <col min="3" max="7" width="8.81640625" style="10" bestFit="1" customWidth="1"/>
    <col min="8" max="16384" width="8.7265625" style="10"/>
  </cols>
  <sheetData>
    <row r="1" spans="1:7" ht="18.5" thickBot="1" x14ac:dyDescent="0.45">
      <c r="A1" s="252" t="s">
        <v>0</v>
      </c>
      <c r="B1" s="249" t="s">
        <v>10</v>
      </c>
      <c r="C1" s="249" t="s">
        <v>5</v>
      </c>
      <c r="D1" s="249" t="s">
        <v>4</v>
      </c>
      <c r="E1" s="249" t="s">
        <v>3</v>
      </c>
      <c r="F1" s="249" t="s">
        <v>2</v>
      </c>
      <c r="G1" s="248" t="s">
        <v>1</v>
      </c>
    </row>
    <row r="2" spans="1:7" ht="36" x14ac:dyDescent="0.4">
      <c r="A2" s="253" t="s">
        <v>17</v>
      </c>
      <c r="B2" s="250">
        <v>13441</v>
      </c>
      <c r="C2" s="250">
        <v>12407</v>
      </c>
      <c r="D2" s="250">
        <v>10805</v>
      </c>
      <c r="E2" s="250">
        <v>11336</v>
      </c>
      <c r="F2" s="250">
        <v>11797</v>
      </c>
      <c r="G2" s="5">
        <v>11874</v>
      </c>
    </row>
    <row r="3" spans="1:7" ht="36" x14ac:dyDescent="0.4">
      <c r="A3" s="253" t="s">
        <v>18</v>
      </c>
      <c r="B3" s="250">
        <v>9284</v>
      </c>
      <c r="C3" s="250">
        <v>2800</v>
      </c>
      <c r="D3" s="250">
        <v>2342</v>
      </c>
      <c r="E3" s="250">
        <v>2725</v>
      </c>
      <c r="F3" s="250">
        <v>2888</v>
      </c>
      <c r="G3" s="5">
        <v>2278</v>
      </c>
    </row>
    <row r="4" spans="1:7" x14ac:dyDescent="0.4">
      <c r="A4" s="253" t="s">
        <v>19</v>
      </c>
      <c r="B4" s="250">
        <v>50020</v>
      </c>
      <c r="C4" s="250">
        <v>47222</v>
      </c>
      <c r="D4" s="250">
        <v>46963</v>
      </c>
      <c r="E4" s="250">
        <v>49824</v>
      </c>
      <c r="F4" s="250">
        <v>56053</v>
      </c>
      <c r="G4" s="5">
        <v>50430</v>
      </c>
    </row>
    <row r="5" spans="1:7" x14ac:dyDescent="0.4">
      <c r="A5" s="253" t="s">
        <v>20</v>
      </c>
      <c r="B5" s="250">
        <v>34495</v>
      </c>
      <c r="C5" s="250">
        <v>32327</v>
      </c>
      <c r="D5" s="250">
        <v>30379</v>
      </c>
      <c r="E5" s="250">
        <v>26539</v>
      </c>
      <c r="F5" s="250">
        <v>18401</v>
      </c>
      <c r="G5" s="5">
        <v>21851</v>
      </c>
    </row>
    <row r="6" spans="1:7" ht="18.5" thickBot="1" x14ac:dyDescent="0.45">
      <c r="A6" s="254" t="s">
        <v>21</v>
      </c>
      <c r="B6" s="251">
        <v>107240</v>
      </c>
      <c r="C6" s="251">
        <v>94756</v>
      </c>
      <c r="D6" s="251">
        <v>90489</v>
      </c>
      <c r="E6" s="251">
        <v>90424</v>
      </c>
      <c r="F6" s="251">
        <v>89139</v>
      </c>
      <c r="G6" s="20">
        <v>86433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7D3F-BF0D-467E-BF26-47E718BC7587}">
  <dimension ref="A1:G58"/>
  <sheetViews>
    <sheetView zoomScale="102" zoomScaleNormal="94" workbookViewId="0">
      <selection activeCell="A55" activeCellId="2" sqref="A39:G39 A47:G47 A55:G55"/>
    </sheetView>
  </sheetViews>
  <sheetFormatPr defaultRowHeight="16.5" x14ac:dyDescent="0.35"/>
  <cols>
    <col min="1" max="1" width="40.1796875" style="22" customWidth="1"/>
    <col min="2" max="2" width="14.26953125" style="30" bestFit="1" customWidth="1"/>
    <col min="3" max="3" width="15.08984375" style="30" customWidth="1"/>
    <col min="4" max="5" width="15.54296875" style="22" customWidth="1"/>
    <col min="6" max="7" width="16.7265625" style="22" customWidth="1"/>
    <col min="8" max="16384" width="8.7265625" style="22"/>
  </cols>
  <sheetData>
    <row r="1" spans="1:7" x14ac:dyDescent="0.35">
      <c r="A1" s="162" t="s">
        <v>63</v>
      </c>
      <c r="B1" s="163"/>
      <c r="C1" s="163"/>
      <c r="D1" s="163"/>
      <c r="E1" s="163"/>
      <c r="F1" s="163"/>
      <c r="G1" s="164"/>
    </row>
    <row r="2" spans="1:7" x14ac:dyDescent="0.35">
      <c r="A2" s="165"/>
      <c r="B2" s="166"/>
      <c r="C2" s="166"/>
      <c r="D2" s="166"/>
      <c r="E2" s="166"/>
      <c r="F2" s="166"/>
      <c r="G2" s="167"/>
    </row>
    <row r="3" spans="1:7" ht="17" thickBot="1" x14ac:dyDescent="0.4">
      <c r="A3" s="168"/>
      <c r="B3" s="169"/>
      <c r="C3" s="169"/>
      <c r="D3" s="169"/>
      <c r="E3" s="169"/>
      <c r="F3" s="169"/>
      <c r="G3" s="170"/>
    </row>
    <row r="4" spans="1:7" x14ac:dyDescent="0.35">
      <c r="A4" s="21" t="s">
        <v>0</v>
      </c>
      <c r="B4" s="137" t="s">
        <v>10</v>
      </c>
      <c r="C4" s="137" t="s">
        <v>5</v>
      </c>
      <c r="D4" s="138" t="s">
        <v>4</v>
      </c>
      <c r="E4" s="138" t="s">
        <v>3</v>
      </c>
      <c r="F4" s="138" t="s">
        <v>2</v>
      </c>
      <c r="G4" s="138" t="s">
        <v>1</v>
      </c>
    </row>
    <row r="5" spans="1:7" x14ac:dyDescent="0.35">
      <c r="A5" s="180" t="s">
        <v>22</v>
      </c>
      <c r="B5" s="181"/>
      <c r="C5" s="181"/>
      <c r="D5" s="181"/>
      <c r="E5" s="181"/>
      <c r="F5" s="181"/>
      <c r="G5" s="182"/>
    </row>
    <row r="6" spans="1:7" x14ac:dyDescent="0.35">
      <c r="A6" s="24" t="s">
        <v>23</v>
      </c>
      <c r="B6" s="139">
        <v>11032</v>
      </c>
      <c r="C6" s="139">
        <v>10978</v>
      </c>
      <c r="D6" s="140">
        <v>11648</v>
      </c>
      <c r="E6" s="140">
        <v>10467</v>
      </c>
      <c r="F6" s="140">
        <v>9634</v>
      </c>
      <c r="G6" s="140">
        <v>8702</v>
      </c>
    </row>
    <row r="7" spans="1:7" x14ac:dyDescent="0.35">
      <c r="A7" s="24" t="s">
        <v>25</v>
      </c>
      <c r="B7" s="139">
        <v>2665</v>
      </c>
      <c r="C7" s="139">
        <v>1546</v>
      </c>
      <c r="D7" s="141">
        <v>643</v>
      </c>
      <c r="E7" s="141">
        <v>482</v>
      </c>
      <c r="F7" s="141">
        <v>330</v>
      </c>
      <c r="G7" s="141">
        <v>221</v>
      </c>
    </row>
    <row r="8" spans="1:7" x14ac:dyDescent="0.35">
      <c r="A8" s="24" t="s">
        <v>24</v>
      </c>
      <c r="B8" s="139">
        <v>11027</v>
      </c>
      <c r="C8" s="139">
        <v>9275</v>
      </c>
      <c r="D8" s="140">
        <v>4210</v>
      </c>
      <c r="E8" s="140">
        <v>4036</v>
      </c>
      <c r="F8" s="140">
        <v>3949</v>
      </c>
      <c r="G8" s="140">
        <v>4015</v>
      </c>
    </row>
    <row r="9" spans="1:7" x14ac:dyDescent="0.35">
      <c r="A9" s="24" t="s">
        <v>26</v>
      </c>
      <c r="B9" s="139">
        <v>9108</v>
      </c>
      <c r="C9" s="139">
        <v>1860</v>
      </c>
      <c r="D9" s="140">
        <v>5755</v>
      </c>
      <c r="E9" s="140">
        <v>5571</v>
      </c>
      <c r="F9" s="140">
        <v>5298</v>
      </c>
      <c r="G9" s="140">
        <v>4947</v>
      </c>
    </row>
    <row r="10" spans="1:7" x14ac:dyDescent="0.35">
      <c r="A10" s="24" t="s">
        <v>27</v>
      </c>
      <c r="B10" s="139">
        <v>176</v>
      </c>
      <c r="C10" s="139">
        <v>940</v>
      </c>
      <c r="D10" s="140">
        <v>2036</v>
      </c>
      <c r="E10" s="140">
        <v>2194</v>
      </c>
      <c r="F10" s="140">
        <v>2506</v>
      </c>
      <c r="G10" s="140">
        <v>2635</v>
      </c>
    </row>
    <row r="11" spans="1:7" x14ac:dyDescent="0.35">
      <c r="A11" s="24" t="s">
        <v>28</v>
      </c>
      <c r="B11" s="139">
        <v>218</v>
      </c>
      <c r="C11" s="139">
        <v>275</v>
      </c>
      <c r="D11" s="140">
        <v>11745</v>
      </c>
      <c r="E11" s="140">
        <v>14938</v>
      </c>
      <c r="F11" s="140">
        <v>13249</v>
      </c>
      <c r="G11" s="140">
        <v>8421</v>
      </c>
    </row>
    <row r="12" spans="1:7" x14ac:dyDescent="0.35">
      <c r="A12" s="24" t="s">
        <v>52</v>
      </c>
      <c r="B12" s="139">
        <v>213</v>
      </c>
      <c r="C12" s="139">
        <v>129</v>
      </c>
      <c r="D12" s="140">
        <v>2530</v>
      </c>
      <c r="E12" s="140">
        <v>2215</v>
      </c>
      <c r="F12" s="140">
        <v>1588</v>
      </c>
      <c r="G12" s="140">
        <v>1221</v>
      </c>
    </row>
    <row r="13" spans="1:7" x14ac:dyDescent="0.35">
      <c r="A13" s="24" t="s">
        <v>53</v>
      </c>
      <c r="B13" s="139">
        <v>775</v>
      </c>
      <c r="C13" s="139">
        <v>25</v>
      </c>
      <c r="D13" s="140">
        <v>1526</v>
      </c>
      <c r="E13" s="140">
        <v>1353</v>
      </c>
      <c r="F13" s="140">
        <v>1027</v>
      </c>
      <c r="G13" s="141">
        <v>756</v>
      </c>
    </row>
    <row r="14" spans="1:7" x14ac:dyDescent="0.35">
      <c r="A14" s="24" t="s">
        <v>33</v>
      </c>
      <c r="B14" s="139">
        <v>2944</v>
      </c>
      <c r="C14" s="139">
        <v>2731</v>
      </c>
      <c r="D14" s="140">
        <v>8862</v>
      </c>
      <c r="E14" s="140">
        <v>7413</v>
      </c>
      <c r="F14" s="140">
        <v>7445</v>
      </c>
      <c r="G14" s="140">
        <v>5370</v>
      </c>
    </row>
    <row r="15" spans="1:7" x14ac:dyDescent="0.35">
      <c r="A15" s="24" t="s">
        <v>54</v>
      </c>
      <c r="B15" s="139">
        <v>4465</v>
      </c>
      <c r="C15" s="139">
        <v>3578</v>
      </c>
      <c r="D15" s="140">
        <v>5159</v>
      </c>
      <c r="E15" s="140">
        <v>5195</v>
      </c>
      <c r="F15" s="140">
        <v>4934</v>
      </c>
      <c r="G15" s="140">
        <v>4099</v>
      </c>
    </row>
    <row r="16" spans="1:7" x14ac:dyDescent="0.35">
      <c r="A16" s="24" t="s">
        <v>55</v>
      </c>
      <c r="B16" s="139">
        <v>1439</v>
      </c>
      <c r="C16" s="139">
        <v>1569</v>
      </c>
      <c r="D16" s="140">
        <v>4164</v>
      </c>
      <c r="E16" s="140">
        <v>4173</v>
      </c>
      <c r="F16" s="140">
        <v>3715</v>
      </c>
      <c r="G16" s="140">
        <v>2917</v>
      </c>
    </row>
    <row r="17" spans="1:7" x14ac:dyDescent="0.35">
      <c r="A17" s="24" t="s">
        <v>62</v>
      </c>
      <c r="B17" s="139">
        <v>2605</v>
      </c>
      <c r="C17" s="139">
        <v>3712</v>
      </c>
      <c r="D17" s="140">
        <v>2270</v>
      </c>
      <c r="E17" s="140">
        <v>1879</v>
      </c>
      <c r="F17" s="140">
        <v>1760</v>
      </c>
      <c r="G17" s="140">
        <v>1571</v>
      </c>
    </row>
    <row r="18" spans="1:7" ht="17" thickBot="1" x14ac:dyDescent="0.4">
      <c r="A18" s="23" t="s">
        <v>29</v>
      </c>
      <c r="B18" s="142">
        <f>SUM(B6:B17)</f>
        <v>46667</v>
      </c>
      <c r="C18" s="142">
        <f>SUM(C6:C17)</f>
        <v>36618</v>
      </c>
      <c r="D18" s="142">
        <f t="shared" ref="D18:G18" si="0">SUM(D6:D17)</f>
        <v>60548</v>
      </c>
      <c r="E18" s="142">
        <f t="shared" si="0"/>
        <v>59916</v>
      </c>
      <c r="F18" s="142">
        <f t="shared" si="0"/>
        <v>55435</v>
      </c>
      <c r="G18" s="142">
        <f t="shared" si="0"/>
        <v>44875</v>
      </c>
    </row>
    <row r="19" spans="1:7" x14ac:dyDescent="0.35">
      <c r="A19" s="171"/>
      <c r="B19" s="172"/>
      <c r="C19" s="172"/>
      <c r="D19" s="172"/>
      <c r="E19" s="172"/>
      <c r="F19" s="172"/>
      <c r="G19" s="173"/>
    </row>
    <row r="20" spans="1:7" x14ac:dyDescent="0.35">
      <c r="A20" s="177" t="s">
        <v>30</v>
      </c>
      <c r="B20" s="178"/>
      <c r="C20" s="178"/>
      <c r="D20" s="178"/>
      <c r="E20" s="178"/>
      <c r="F20" s="178"/>
      <c r="G20" s="179"/>
    </row>
    <row r="21" spans="1:7" x14ac:dyDescent="0.35">
      <c r="A21" s="24" t="s">
        <v>31</v>
      </c>
      <c r="B21" s="151">
        <v>29</v>
      </c>
      <c r="C21" s="151">
        <v>21</v>
      </c>
      <c r="D21" s="153">
        <v>29</v>
      </c>
      <c r="E21" s="153">
        <v>27</v>
      </c>
      <c r="F21" s="153">
        <v>19</v>
      </c>
      <c r="G21" s="153">
        <v>7</v>
      </c>
    </row>
    <row r="22" spans="1:7" x14ac:dyDescent="0.35">
      <c r="A22" s="24" t="s">
        <v>28</v>
      </c>
      <c r="B22" s="139">
        <v>33770</v>
      </c>
      <c r="C22" s="139">
        <v>30689</v>
      </c>
      <c r="D22" s="140">
        <v>44902</v>
      </c>
      <c r="E22" s="140">
        <v>35738</v>
      </c>
      <c r="F22" s="140">
        <v>29262</v>
      </c>
      <c r="G22" s="140">
        <v>28324</v>
      </c>
    </row>
    <row r="23" spans="1:7" x14ac:dyDescent="0.35">
      <c r="A23" s="24" t="s">
        <v>52</v>
      </c>
      <c r="B23" s="139">
        <v>67714</v>
      </c>
      <c r="C23" s="139">
        <v>59046</v>
      </c>
      <c r="D23" s="140">
        <v>44147</v>
      </c>
      <c r="E23" s="140">
        <v>42798</v>
      </c>
      <c r="F23" s="140">
        <v>36102</v>
      </c>
      <c r="G23" s="140">
        <v>30621</v>
      </c>
    </row>
    <row r="24" spans="1:7" x14ac:dyDescent="0.35">
      <c r="A24" s="24" t="s">
        <v>32</v>
      </c>
      <c r="B24" s="139">
        <v>6417</v>
      </c>
      <c r="C24" s="139">
        <v>8342</v>
      </c>
      <c r="D24" s="140">
        <v>4907</v>
      </c>
      <c r="E24" s="140">
        <v>1462</v>
      </c>
      <c r="F24" s="140">
        <v>8197</v>
      </c>
      <c r="G24" s="140">
        <v>1112</v>
      </c>
    </row>
    <row r="25" spans="1:7" x14ac:dyDescent="0.35">
      <c r="A25" s="24" t="s">
        <v>56</v>
      </c>
      <c r="B25" s="139">
        <v>6491</v>
      </c>
      <c r="C25" s="139">
        <v>7121</v>
      </c>
      <c r="D25" s="140">
        <v>8370</v>
      </c>
      <c r="E25" s="140">
        <v>3081</v>
      </c>
      <c r="F25" s="140">
        <v>5495</v>
      </c>
      <c r="G25" s="140">
        <v>2030</v>
      </c>
    </row>
    <row r="26" spans="1:7" x14ac:dyDescent="0.35">
      <c r="A26" s="24" t="s">
        <v>53</v>
      </c>
      <c r="B26" s="139">
        <v>1659</v>
      </c>
      <c r="C26" s="139">
        <v>9</v>
      </c>
      <c r="D26" s="141">
        <v>381</v>
      </c>
      <c r="E26" s="141">
        <v>332</v>
      </c>
      <c r="F26" s="140">
        <v>5653</v>
      </c>
      <c r="G26" s="140">
        <v>10486</v>
      </c>
    </row>
    <row r="27" spans="1:7" x14ac:dyDescent="0.35">
      <c r="A27" s="24" t="s">
        <v>33</v>
      </c>
      <c r="B27" s="139">
        <v>1833</v>
      </c>
      <c r="C27" s="139">
        <v>2742</v>
      </c>
      <c r="D27" s="140">
        <v>1790</v>
      </c>
      <c r="E27" s="140">
        <v>1557</v>
      </c>
      <c r="F27" s="140">
        <v>1432</v>
      </c>
      <c r="G27" s="140">
        <v>1363</v>
      </c>
    </row>
    <row r="28" spans="1:7" x14ac:dyDescent="0.35">
      <c r="A28" s="24" t="s">
        <v>55</v>
      </c>
      <c r="B28" s="139">
        <v>1259</v>
      </c>
      <c r="C28" s="139">
        <v>257</v>
      </c>
      <c r="D28" s="141" t="s">
        <v>264</v>
      </c>
      <c r="E28" s="141" t="s">
        <v>264</v>
      </c>
      <c r="F28" s="141" t="s">
        <v>264</v>
      </c>
      <c r="G28" s="141" t="s">
        <v>264</v>
      </c>
    </row>
    <row r="29" spans="1:7" x14ac:dyDescent="0.35">
      <c r="A29" s="24" t="s">
        <v>34</v>
      </c>
      <c r="B29" s="139">
        <v>16533</v>
      </c>
      <c r="C29" s="139">
        <v>14784</v>
      </c>
      <c r="D29" s="140">
        <v>9084</v>
      </c>
      <c r="E29" s="140">
        <v>7789</v>
      </c>
      <c r="F29" s="140">
        <v>8032</v>
      </c>
      <c r="G29" s="140">
        <v>9217</v>
      </c>
    </row>
    <row r="30" spans="1:7" ht="17" thickBot="1" x14ac:dyDescent="0.4">
      <c r="A30" s="25" t="s">
        <v>35</v>
      </c>
      <c r="B30" s="144">
        <f>SUM(B21:B29)</f>
        <v>135705</v>
      </c>
      <c r="C30" s="144">
        <f>SUM(C21:C29)</f>
        <v>123011</v>
      </c>
      <c r="D30" s="144">
        <f t="shared" ref="D30:G30" si="1">SUM(D21:D29)</f>
        <v>113610</v>
      </c>
      <c r="E30" s="144">
        <f t="shared" si="1"/>
        <v>92784</v>
      </c>
      <c r="F30" s="144">
        <f t="shared" si="1"/>
        <v>94192</v>
      </c>
      <c r="G30" s="144">
        <f t="shared" si="1"/>
        <v>83160</v>
      </c>
    </row>
    <row r="31" spans="1:7" ht="17" thickBot="1" x14ac:dyDescent="0.4">
      <c r="A31" s="186"/>
      <c r="B31" s="187"/>
      <c r="C31" s="187"/>
      <c r="D31" s="187"/>
      <c r="E31" s="187"/>
      <c r="F31" s="187"/>
      <c r="G31" s="188"/>
    </row>
    <row r="32" spans="1:7" ht="17" thickBot="1" x14ac:dyDescent="0.4">
      <c r="A32" s="23" t="s">
        <v>36</v>
      </c>
      <c r="B32" s="142">
        <f>B18+B30</f>
        <v>182372</v>
      </c>
      <c r="C32" s="142">
        <f>C18+C30</f>
        <v>159629</v>
      </c>
      <c r="D32" s="142">
        <f t="shared" ref="D32:G32" si="2">D18+D30</f>
        <v>174158</v>
      </c>
      <c r="E32" s="142">
        <f t="shared" si="2"/>
        <v>152700</v>
      </c>
      <c r="F32" s="142">
        <f t="shared" si="2"/>
        <v>149627</v>
      </c>
      <c r="G32" s="142">
        <f t="shared" si="2"/>
        <v>128035</v>
      </c>
    </row>
    <row r="33" spans="1:7" x14ac:dyDescent="0.35">
      <c r="A33" s="183"/>
      <c r="B33" s="184"/>
      <c r="C33" s="184"/>
      <c r="D33" s="184"/>
      <c r="E33" s="184"/>
      <c r="F33" s="184"/>
      <c r="G33" s="185"/>
    </row>
    <row r="34" spans="1:7" x14ac:dyDescent="0.35">
      <c r="A34" s="29" t="s">
        <v>0</v>
      </c>
      <c r="B34" s="148" t="s">
        <v>10</v>
      </c>
      <c r="C34" s="148" t="s">
        <v>5</v>
      </c>
      <c r="D34" s="147" t="s">
        <v>4</v>
      </c>
      <c r="E34" s="147" t="s">
        <v>3</v>
      </c>
      <c r="F34" s="147" t="s">
        <v>2</v>
      </c>
      <c r="G34" s="147" t="s">
        <v>1</v>
      </c>
    </row>
    <row r="35" spans="1:7" x14ac:dyDescent="0.35">
      <c r="A35" s="180" t="s">
        <v>37</v>
      </c>
      <c r="B35" s="181"/>
      <c r="C35" s="181"/>
      <c r="D35" s="181"/>
      <c r="E35" s="181"/>
      <c r="F35" s="181"/>
      <c r="G35" s="182"/>
    </row>
    <row r="36" spans="1:7" x14ac:dyDescent="0.35">
      <c r="A36" s="24" t="s">
        <v>51</v>
      </c>
      <c r="B36" s="146">
        <v>1238</v>
      </c>
      <c r="C36" s="146">
        <v>1015</v>
      </c>
      <c r="D36" s="141">
        <v>25</v>
      </c>
      <c r="E36" s="141">
        <v>19</v>
      </c>
      <c r="F36" s="141">
        <v>16</v>
      </c>
      <c r="G36" s="141">
        <v>16</v>
      </c>
    </row>
    <row r="37" spans="1:7" x14ac:dyDescent="0.35">
      <c r="A37" s="24" t="s">
        <v>38</v>
      </c>
      <c r="B37" s="143">
        <v>362</v>
      </c>
      <c r="C37" s="143">
        <v>362</v>
      </c>
      <c r="D37" s="141">
        <v>362</v>
      </c>
      <c r="E37" s="141">
        <v>362</v>
      </c>
      <c r="F37" s="141">
        <v>362</v>
      </c>
      <c r="G37" s="141">
        <v>362</v>
      </c>
    </row>
    <row r="38" spans="1:7" ht="17" thickBot="1" x14ac:dyDescent="0.4">
      <c r="A38" s="26" t="s">
        <v>39</v>
      </c>
      <c r="B38" s="145">
        <v>106878</v>
      </c>
      <c r="C38" s="145">
        <v>94394</v>
      </c>
      <c r="D38" s="140">
        <v>156529</v>
      </c>
      <c r="E38" s="140">
        <v>136431</v>
      </c>
      <c r="F38" s="140">
        <v>127547</v>
      </c>
      <c r="G38" s="140">
        <v>114778</v>
      </c>
    </row>
    <row r="39" spans="1:7" ht="17" thickBot="1" x14ac:dyDescent="0.4">
      <c r="A39" s="23" t="s">
        <v>40</v>
      </c>
      <c r="B39" s="142">
        <f>SUM(B36:B38)</f>
        <v>108478</v>
      </c>
      <c r="C39" s="142">
        <f>SUM(C36:C38)</f>
        <v>95771</v>
      </c>
      <c r="D39" s="142">
        <f t="shared" ref="D39:G39" si="3">SUM(D36:D38)</f>
        <v>156916</v>
      </c>
      <c r="E39" s="142">
        <f t="shared" si="3"/>
        <v>136812</v>
      </c>
      <c r="F39" s="142">
        <f t="shared" si="3"/>
        <v>127925</v>
      </c>
      <c r="G39" s="142">
        <f t="shared" si="3"/>
        <v>115156</v>
      </c>
    </row>
    <row r="40" spans="1:7" x14ac:dyDescent="0.35">
      <c r="A40" s="171"/>
      <c r="B40" s="172"/>
      <c r="C40" s="172"/>
      <c r="D40" s="172"/>
      <c r="E40" s="172"/>
      <c r="F40" s="172"/>
      <c r="G40" s="173"/>
    </row>
    <row r="41" spans="1:7" x14ac:dyDescent="0.35">
      <c r="A41" s="177" t="s">
        <v>41</v>
      </c>
      <c r="B41" s="178"/>
      <c r="C41" s="178"/>
      <c r="D41" s="178"/>
      <c r="E41" s="178"/>
      <c r="F41" s="178"/>
      <c r="G41" s="179"/>
    </row>
    <row r="42" spans="1:7" x14ac:dyDescent="0.35">
      <c r="A42" s="24" t="s">
        <v>42</v>
      </c>
      <c r="B42" s="149">
        <v>0</v>
      </c>
      <c r="C42" s="149">
        <v>0</v>
      </c>
      <c r="D42" s="150">
        <v>0</v>
      </c>
      <c r="E42" s="150">
        <v>0</v>
      </c>
      <c r="F42" s="150">
        <v>0</v>
      </c>
      <c r="G42" s="150">
        <v>0</v>
      </c>
    </row>
    <row r="43" spans="1:7" ht="33" x14ac:dyDescent="0.35">
      <c r="A43" s="24" t="s">
        <v>57</v>
      </c>
      <c r="B43" s="139">
        <v>126</v>
      </c>
      <c r="C43" s="139">
        <v>0</v>
      </c>
      <c r="D43" s="141">
        <v>0</v>
      </c>
      <c r="E43" s="141">
        <v>0</v>
      </c>
      <c r="F43" s="141">
        <v>0</v>
      </c>
      <c r="G43" s="141">
        <v>0</v>
      </c>
    </row>
    <row r="44" spans="1:7" x14ac:dyDescent="0.35">
      <c r="A44" s="24" t="s">
        <v>43</v>
      </c>
      <c r="B44" s="139">
        <v>9453</v>
      </c>
      <c r="C44" s="139">
        <v>7838</v>
      </c>
      <c r="D44" s="140">
        <v>3765</v>
      </c>
      <c r="E44" s="140">
        <v>3652</v>
      </c>
      <c r="F44" s="140">
        <v>3708</v>
      </c>
      <c r="G44" s="140">
        <v>3814</v>
      </c>
    </row>
    <row r="45" spans="1:7" ht="66" x14ac:dyDescent="0.35">
      <c r="A45" s="24" t="s">
        <v>60</v>
      </c>
      <c r="B45" s="139">
        <v>2196</v>
      </c>
      <c r="C45" s="139">
        <v>2039</v>
      </c>
      <c r="D45" s="140">
        <v>2094</v>
      </c>
      <c r="E45" s="140">
        <v>2271</v>
      </c>
      <c r="F45" s="140">
        <v>2123</v>
      </c>
      <c r="G45" s="140">
        <v>1796</v>
      </c>
    </row>
    <row r="46" spans="1:7" x14ac:dyDescent="0.35">
      <c r="A46" s="24" t="s">
        <v>58</v>
      </c>
      <c r="B46" s="139">
        <v>1205</v>
      </c>
      <c r="C46" s="139">
        <v>980</v>
      </c>
      <c r="D46" s="141">
        <v>0</v>
      </c>
      <c r="E46" s="141">
        <v>0</v>
      </c>
      <c r="F46" s="141">
        <v>0</v>
      </c>
      <c r="G46" s="141">
        <v>0</v>
      </c>
    </row>
    <row r="47" spans="1:7" ht="17" thickBot="1" x14ac:dyDescent="0.4">
      <c r="A47" s="25" t="s">
        <v>44</v>
      </c>
      <c r="B47" s="144">
        <f>SUM(B42:B46)</f>
        <v>12980</v>
      </c>
      <c r="C47" s="144">
        <f>SUM(C42:C46)</f>
        <v>10857</v>
      </c>
      <c r="D47" s="144">
        <f t="shared" ref="D47:G47" si="4">SUM(D42:D46)</f>
        <v>5859</v>
      </c>
      <c r="E47" s="144">
        <f t="shared" si="4"/>
        <v>5923</v>
      </c>
      <c r="F47" s="144">
        <f t="shared" si="4"/>
        <v>5831</v>
      </c>
      <c r="G47" s="144">
        <f t="shared" si="4"/>
        <v>5610</v>
      </c>
    </row>
    <row r="48" spans="1:7" x14ac:dyDescent="0.35">
      <c r="A48" s="171"/>
      <c r="B48" s="172"/>
      <c r="C48" s="172"/>
      <c r="D48" s="172"/>
      <c r="E48" s="172"/>
      <c r="F48" s="172"/>
      <c r="G48" s="173"/>
    </row>
    <row r="49" spans="1:7" x14ac:dyDescent="0.35">
      <c r="A49" s="177" t="s">
        <v>45</v>
      </c>
      <c r="B49" s="178"/>
      <c r="C49" s="178"/>
      <c r="D49" s="178"/>
      <c r="E49" s="178"/>
      <c r="F49" s="178"/>
      <c r="G49" s="179"/>
    </row>
    <row r="50" spans="1:7" x14ac:dyDescent="0.35">
      <c r="A50" s="24" t="s">
        <v>46</v>
      </c>
      <c r="B50" s="151">
        <v>14808</v>
      </c>
      <c r="C50" s="151">
        <v>13909</v>
      </c>
      <c r="D50" s="152">
        <v>8369</v>
      </c>
      <c r="E50" s="152">
        <v>8158</v>
      </c>
      <c r="F50" s="152">
        <v>7466</v>
      </c>
      <c r="G50" s="152">
        <v>6313</v>
      </c>
    </row>
    <row r="51" spans="1:7" x14ac:dyDescent="0.35">
      <c r="A51" s="24" t="s">
        <v>47</v>
      </c>
      <c r="B51" s="139">
        <v>11194</v>
      </c>
      <c r="C51" s="139">
        <v>8542</v>
      </c>
      <c r="D51" s="140">
        <v>15058</v>
      </c>
      <c r="E51" s="140">
        <v>12852</v>
      </c>
      <c r="F51" s="140">
        <v>11494</v>
      </c>
      <c r="G51" s="140">
        <v>10388</v>
      </c>
    </row>
    <row r="52" spans="1:7" x14ac:dyDescent="0.35">
      <c r="A52" s="24" t="s">
        <v>43</v>
      </c>
      <c r="B52" s="139">
        <v>1830</v>
      </c>
      <c r="C52" s="139">
        <v>1554</v>
      </c>
      <c r="D52" s="140">
        <v>1839</v>
      </c>
      <c r="E52" s="140">
        <v>1712</v>
      </c>
      <c r="F52" s="140">
        <v>1627</v>
      </c>
      <c r="G52" s="140">
        <v>1592</v>
      </c>
    </row>
    <row r="53" spans="1:7" ht="66" x14ac:dyDescent="0.35">
      <c r="A53" s="24" t="s">
        <v>61</v>
      </c>
      <c r="B53" s="139">
        <v>18331</v>
      </c>
      <c r="C53" s="139">
        <v>16281</v>
      </c>
      <c r="D53" s="140">
        <v>42117</v>
      </c>
      <c r="E53" s="140">
        <v>34412</v>
      </c>
      <c r="F53" s="140">
        <v>33909</v>
      </c>
      <c r="G53" s="140">
        <v>28136</v>
      </c>
    </row>
    <row r="54" spans="1:7" x14ac:dyDescent="0.35">
      <c r="A54" s="24" t="s">
        <v>59</v>
      </c>
      <c r="B54" s="139">
        <v>14751</v>
      </c>
      <c r="C54" s="139">
        <v>12715</v>
      </c>
      <c r="D54" s="140">
        <v>5538</v>
      </c>
      <c r="E54" s="140">
        <v>4831</v>
      </c>
      <c r="F54" s="140">
        <v>3375</v>
      </c>
      <c r="G54" s="140">
        <v>3840</v>
      </c>
    </row>
    <row r="55" spans="1:7" ht="17" thickBot="1" x14ac:dyDescent="0.4">
      <c r="A55" s="23" t="s">
        <v>48</v>
      </c>
      <c r="B55" s="142">
        <f>SUM(B50:B54)</f>
        <v>60914</v>
      </c>
      <c r="C55" s="142">
        <f>SUM(C50:C54)</f>
        <v>53001</v>
      </c>
      <c r="D55" s="142">
        <f t="shared" ref="D55:G55" si="5">SUM(D50:D54)</f>
        <v>72921</v>
      </c>
      <c r="E55" s="142">
        <f t="shared" si="5"/>
        <v>61965</v>
      </c>
      <c r="F55" s="142">
        <f t="shared" si="5"/>
        <v>57871</v>
      </c>
      <c r="G55" s="142">
        <f t="shared" si="5"/>
        <v>50269</v>
      </c>
    </row>
    <row r="56" spans="1:7" x14ac:dyDescent="0.35">
      <c r="A56" s="174"/>
      <c r="B56" s="175"/>
      <c r="C56" s="175"/>
      <c r="D56" s="175"/>
      <c r="E56" s="175"/>
      <c r="F56" s="175"/>
      <c r="G56" s="176"/>
    </row>
    <row r="57" spans="1:7" ht="17" thickBot="1" x14ac:dyDescent="0.4">
      <c r="A57" s="25" t="s">
        <v>49</v>
      </c>
      <c r="B57" s="144">
        <f>B47+B55</f>
        <v>73894</v>
      </c>
      <c r="C57" s="144">
        <f>C47+C55</f>
        <v>63858</v>
      </c>
      <c r="D57" s="144">
        <f t="shared" ref="D57:G57" si="6">D47+D55</f>
        <v>78780</v>
      </c>
      <c r="E57" s="144">
        <f t="shared" si="6"/>
        <v>67888</v>
      </c>
      <c r="F57" s="144">
        <f t="shared" si="6"/>
        <v>63702</v>
      </c>
      <c r="G57" s="144">
        <f t="shared" si="6"/>
        <v>55879</v>
      </c>
    </row>
    <row r="58" spans="1:7" ht="17" thickBot="1" x14ac:dyDescent="0.4">
      <c r="A58" s="23" t="s">
        <v>50</v>
      </c>
      <c r="B58" s="142">
        <f>B39+B57</f>
        <v>182372</v>
      </c>
      <c r="C58" s="142">
        <f>C39+C57</f>
        <v>159629</v>
      </c>
      <c r="D58" s="142">
        <f t="shared" ref="D58:G58" si="7">D39+D57</f>
        <v>235696</v>
      </c>
      <c r="E58" s="142">
        <f t="shared" si="7"/>
        <v>204700</v>
      </c>
      <c r="F58" s="142">
        <f t="shared" si="7"/>
        <v>191627</v>
      </c>
      <c r="G58" s="142">
        <f t="shared" si="7"/>
        <v>171035</v>
      </c>
    </row>
  </sheetData>
  <mergeCells count="13">
    <mergeCell ref="A1:G2"/>
    <mergeCell ref="A3:G3"/>
    <mergeCell ref="A19:G19"/>
    <mergeCell ref="A48:G48"/>
    <mergeCell ref="A56:G56"/>
    <mergeCell ref="A20:G20"/>
    <mergeCell ref="A5:G5"/>
    <mergeCell ref="A35:G35"/>
    <mergeCell ref="A49:G49"/>
    <mergeCell ref="A41:G41"/>
    <mergeCell ref="A40:G40"/>
    <mergeCell ref="A33:G33"/>
    <mergeCell ref="A31:G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A61F-170E-4A05-BF22-EF22124F9B21}">
  <dimension ref="A1:J3469"/>
  <sheetViews>
    <sheetView workbookViewId="0">
      <selection activeCell="A77" sqref="A77:G77"/>
    </sheetView>
  </sheetViews>
  <sheetFormatPr defaultRowHeight="16.5" x14ac:dyDescent="0.35"/>
  <cols>
    <col min="1" max="1" width="61.08984375" style="22" bestFit="1" customWidth="1"/>
    <col min="2" max="2" width="17.7265625" style="30" customWidth="1"/>
    <col min="3" max="3" width="19" style="30" customWidth="1"/>
    <col min="4" max="6" width="14.7265625" style="22" customWidth="1"/>
    <col min="7" max="7" width="12.81640625" style="22" customWidth="1"/>
    <col min="8" max="16384" width="8.7265625" style="22"/>
  </cols>
  <sheetData>
    <row r="1" spans="1:10" ht="14.5" customHeight="1" x14ac:dyDescent="0.35">
      <c r="A1" s="205" t="s">
        <v>64</v>
      </c>
      <c r="B1" s="206"/>
      <c r="C1" s="206"/>
      <c r="D1" s="206"/>
      <c r="E1" s="206"/>
      <c r="F1" s="206"/>
      <c r="G1" s="207"/>
      <c r="H1" s="32"/>
      <c r="I1" s="32"/>
    </row>
    <row r="2" spans="1:10" ht="14.5" customHeight="1" x14ac:dyDescent="0.35">
      <c r="A2" s="208"/>
      <c r="B2" s="209"/>
      <c r="C2" s="209"/>
      <c r="D2" s="209"/>
      <c r="E2" s="209"/>
      <c r="F2" s="209"/>
      <c r="G2" s="210"/>
      <c r="H2" s="32"/>
      <c r="I2" s="32"/>
    </row>
    <row r="3" spans="1:10" ht="17" thickBot="1" x14ac:dyDescent="0.4">
      <c r="A3" s="211"/>
      <c r="B3" s="212"/>
      <c r="C3" s="212"/>
      <c r="D3" s="212"/>
      <c r="E3" s="212"/>
      <c r="F3" s="212"/>
      <c r="G3" s="213"/>
    </row>
    <row r="4" spans="1:10" s="31" customFormat="1" ht="29" customHeight="1" thickBot="1" x14ac:dyDescent="0.4">
      <c r="A4" s="198" t="s">
        <v>66</v>
      </c>
      <c r="B4" s="199"/>
      <c r="C4" s="199"/>
      <c r="D4" s="200"/>
      <c r="E4" s="200"/>
      <c r="F4" s="200"/>
      <c r="G4" s="201"/>
    </row>
    <row r="5" spans="1:10" ht="22" customHeight="1" thickBot="1" x14ac:dyDescent="0.4">
      <c r="A5" s="73" t="s">
        <v>0</v>
      </c>
      <c r="B5" s="74" t="s">
        <v>10</v>
      </c>
      <c r="C5" s="75" t="s">
        <v>5</v>
      </c>
      <c r="D5" s="109" t="s">
        <v>4</v>
      </c>
      <c r="E5" s="109" t="s">
        <v>3</v>
      </c>
      <c r="F5" s="109" t="s">
        <v>2</v>
      </c>
      <c r="G5" s="109" t="s">
        <v>1</v>
      </c>
    </row>
    <row r="6" spans="1:10" x14ac:dyDescent="0.35">
      <c r="A6" s="34" t="s">
        <v>67</v>
      </c>
      <c r="B6" s="35">
        <v>49454</v>
      </c>
      <c r="C6" s="43">
        <v>48797</v>
      </c>
      <c r="D6" s="94">
        <v>46099</v>
      </c>
      <c r="E6" s="94">
        <v>42303</v>
      </c>
      <c r="F6" s="94">
        <v>38449</v>
      </c>
      <c r="G6" s="94">
        <v>32562</v>
      </c>
      <c r="H6" s="3"/>
      <c r="I6" s="3"/>
      <c r="J6" s="3"/>
    </row>
    <row r="7" spans="1:10" x14ac:dyDescent="0.35">
      <c r="A7" s="202" t="s">
        <v>65</v>
      </c>
      <c r="B7" s="203"/>
      <c r="C7" s="203"/>
      <c r="D7" s="203"/>
      <c r="E7" s="203"/>
      <c r="F7" s="203"/>
      <c r="G7" s="204"/>
      <c r="H7" s="3"/>
      <c r="I7" s="3"/>
      <c r="J7" s="3"/>
    </row>
    <row r="8" spans="1:10" x14ac:dyDescent="0.35">
      <c r="A8" s="36" t="s">
        <v>68</v>
      </c>
      <c r="B8" s="37">
        <v>5560</v>
      </c>
      <c r="C8" s="44">
        <v>5242</v>
      </c>
      <c r="D8" s="96">
        <v>4985</v>
      </c>
      <c r="E8" s="96">
        <v>5022</v>
      </c>
      <c r="F8" s="96">
        <v>4604</v>
      </c>
      <c r="G8" s="95">
        <v>4065</v>
      </c>
      <c r="H8" s="3"/>
      <c r="I8" s="3"/>
      <c r="J8" s="3"/>
    </row>
    <row r="9" spans="1:10" ht="33" x14ac:dyDescent="0.35">
      <c r="A9" s="24" t="s">
        <v>69</v>
      </c>
      <c r="B9" s="33">
        <v>184</v>
      </c>
      <c r="C9" s="45">
        <v>128</v>
      </c>
      <c r="D9" s="97">
        <v>114</v>
      </c>
      <c r="E9" s="97">
        <v>140</v>
      </c>
      <c r="F9" s="97">
        <v>135</v>
      </c>
      <c r="G9" s="78">
        <v>201</v>
      </c>
      <c r="H9" s="3"/>
      <c r="I9" s="3"/>
      <c r="J9" s="3"/>
    </row>
    <row r="10" spans="1:10" x14ac:dyDescent="0.35">
      <c r="A10" s="24" t="s">
        <v>70</v>
      </c>
      <c r="B10" s="33">
        <v>1010</v>
      </c>
      <c r="C10" s="45" t="s">
        <v>71</v>
      </c>
      <c r="D10" s="97" t="s">
        <v>71</v>
      </c>
      <c r="E10" s="97" t="s">
        <v>71</v>
      </c>
      <c r="F10" s="97" t="s">
        <v>71</v>
      </c>
      <c r="G10" s="77">
        <v>1218</v>
      </c>
      <c r="H10" s="3"/>
      <c r="I10" s="3"/>
      <c r="J10" s="3"/>
    </row>
    <row r="11" spans="1:10" x14ac:dyDescent="0.35">
      <c r="A11" s="24" t="s">
        <v>72</v>
      </c>
      <c r="B11" s="33">
        <v>120</v>
      </c>
      <c r="C11" s="45" t="s">
        <v>71</v>
      </c>
      <c r="D11" s="97" t="s">
        <v>71</v>
      </c>
      <c r="E11" s="97" t="s">
        <v>71</v>
      </c>
      <c r="F11" s="97" t="s">
        <v>71</v>
      </c>
      <c r="G11" s="78" t="s">
        <v>71</v>
      </c>
      <c r="H11" s="3"/>
      <c r="I11" s="3"/>
      <c r="J11" s="3"/>
    </row>
    <row r="12" spans="1:10" x14ac:dyDescent="0.35">
      <c r="A12" s="24" t="s">
        <v>73</v>
      </c>
      <c r="B12" s="33">
        <v>16033</v>
      </c>
      <c r="C12" s="45">
        <v>16534</v>
      </c>
      <c r="D12" s="98">
        <v>15898</v>
      </c>
      <c r="E12" s="98">
        <v>14604</v>
      </c>
      <c r="F12" s="98">
        <v>13238</v>
      </c>
      <c r="G12" s="77">
        <v>11198</v>
      </c>
      <c r="H12" s="3"/>
      <c r="I12" s="3"/>
      <c r="J12" s="3"/>
    </row>
    <row r="13" spans="1:10" x14ac:dyDescent="0.35">
      <c r="A13" s="24" t="s">
        <v>74</v>
      </c>
      <c r="B13" s="33">
        <v>-110</v>
      </c>
      <c r="C13" s="45">
        <v>-15</v>
      </c>
      <c r="D13" s="97">
        <v>-7</v>
      </c>
      <c r="E13" s="97">
        <v>2</v>
      </c>
      <c r="F13" s="97">
        <v>-7</v>
      </c>
      <c r="G13" s="78">
        <v>-100</v>
      </c>
      <c r="H13" s="3"/>
      <c r="I13" s="3"/>
      <c r="J13" s="3"/>
    </row>
    <row r="14" spans="1:10" x14ac:dyDescent="0.35">
      <c r="A14" s="24" t="s">
        <v>75</v>
      </c>
      <c r="B14" s="33">
        <v>-8</v>
      </c>
      <c r="C14" s="45" t="s">
        <v>71</v>
      </c>
      <c r="D14" s="97" t="s">
        <v>71</v>
      </c>
      <c r="E14" s="97" t="s">
        <v>71</v>
      </c>
      <c r="F14" s="97">
        <v>9</v>
      </c>
      <c r="G14" s="78" t="s">
        <v>71</v>
      </c>
      <c r="H14" s="3"/>
      <c r="I14" s="3"/>
      <c r="J14" s="3"/>
    </row>
    <row r="15" spans="1:10" x14ac:dyDescent="0.35">
      <c r="A15" s="24" t="s">
        <v>76</v>
      </c>
      <c r="B15" s="33">
        <v>-176</v>
      </c>
      <c r="C15" s="45">
        <v>-1</v>
      </c>
      <c r="D15" s="97">
        <v>-17</v>
      </c>
      <c r="E15" s="97">
        <v>-189</v>
      </c>
      <c r="F15" s="97">
        <v>-120</v>
      </c>
      <c r="G15" s="78">
        <v>-21</v>
      </c>
      <c r="H15" s="3"/>
      <c r="I15" s="3"/>
      <c r="J15" s="3"/>
    </row>
    <row r="16" spans="1:10" x14ac:dyDescent="0.35">
      <c r="A16" s="24" t="s">
        <v>77</v>
      </c>
      <c r="B16" s="33">
        <v>-17</v>
      </c>
      <c r="C16" s="45">
        <v>-20</v>
      </c>
      <c r="D16" s="97">
        <v>-7</v>
      </c>
      <c r="E16" s="97">
        <v>-26</v>
      </c>
      <c r="F16" s="97">
        <v>-23</v>
      </c>
      <c r="G16" s="78">
        <v>-13</v>
      </c>
      <c r="H16" s="3"/>
      <c r="I16" s="3"/>
      <c r="J16" s="3"/>
    </row>
    <row r="17" spans="1:10" x14ac:dyDescent="0.35">
      <c r="A17" s="24" t="s">
        <v>78</v>
      </c>
      <c r="B17" s="33">
        <v>-701</v>
      </c>
      <c r="C17" s="45">
        <v>-269</v>
      </c>
      <c r="D17" s="97">
        <v>-312</v>
      </c>
      <c r="E17" s="97">
        <v>-224</v>
      </c>
      <c r="F17" s="97">
        <v>-198</v>
      </c>
      <c r="G17" s="78">
        <v>-204</v>
      </c>
      <c r="H17" s="3"/>
      <c r="I17" s="3"/>
      <c r="J17" s="3"/>
    </row>
    <row r="18" spans="1:10" x14ac:dyDescent="0.35">
      <c r="A18" s="24" t="s">
        <v>79</v>
      </c>
      <c r="B18" s="33">
        <v>-17</v>
      </c>
      <c r="C18" s="45" t="s">
        <v>71</v>
      </c>
      <c r="D18" s="97" t="s">
        <v>71</v>
      </c>
      <c r="E18" s="97" t="s">
        <v>71</v>
      </c>
      <c r="F18" s="97" t="s">
        <v>71</v>
      </c>
      <c r="G18" s="78" t="s">
        <v>71</v>
      </c>
      <c r="H18" s="3"/>
      <c r="I18" s="3"/>
      <c r="J18" s="3"/>
    </row>
    <row r="19" spans="1:10" x14ac:dyDescent="0.35">
      <c r="A19" s="24" t="s">
        <v>80</v>
      </c>
      <c r="B19" s="33">
        <v>18</v>
      </c>
      <c r="C19" s="45" t="s">
        <v>71</v>
      </c>
      <c r="D19" s="97" t="s">
        <v>71</v>
      </c>
      <c r="E19" s="97" t="s">
        <v>71</v>
      </c>
      <c r="F19" s="97" t="s">
        <v>71</v>
      </c>
      <c r="G19" s="78" t="s">
        <v>71</v>
      </c>
      <c r="H19" s="3"/>
      <c r="I19" s="3"/>
      <c r="J19" s="3"/>
    </row>
    <row r="20" spans="1:10" x14ac:dyDescent="0.35">
      <c r="A20" s="24" t="s">
        <v>81</v>
      </c>
      <c r="B20" s="33">
        <v>-3854</v>
      </c>
      <c r="C20" s="45">
        <v>-3296</v>
      </c>
      <c r="D20" s="98">
        <v>-3781</v>
      </c>
      <c r="E20" s="98">
        <v>-3248</v>
      </c>
      <c r="F20" s="98">
        <v>-2663</v>
      </c>
      <c r="G20" s="77">
        <v>-2504</v>
      </c>
      <c r="H20" s="3"/>
      <c r="I20" s="3"/>
      <c r="J20" s="3"/>
    </row>
    <row r="21" spans="1:10" x14ac:dyDescent="0.35">
      <c r="A21" s="24" t="s">
        <v>82</v>
      </c>
      <c r="B21" s="33">
        <v>-35</v>
      </c>
      <c r="C21" s="45">
        <v>-43</v>
      </c>
      <c r="D21" s="97">
        <v>-41</v>
      </c>
      <c r="E21" s="97">
        <v>-15</v>
      </c>
      <c r="F21" s="97">
        <v>-4</v>
      </c>
      <c r="G21" s="78">
        <v>-8</v>
      </c>
      <c r="H21" s="3"/>
      <c r="I21" s="3"/>
      <c r="J21" s="3"/>
    </row>
    <row r="22" spans="1:10" x14ac:dyDescent="0.35">
      <c r="A22" s="24" t="s">
        <v>83</v>
      </c>
      <c r="B22" s="33">
        <v>1227</v>
      </c>
      <c r="C22" s="45">
        <v>796</v>
      </c>
      <c r="D22" s="97">
        <v>778</v>
      </c>
      <c r="E22" s="97">
        <v>779</v>
      </c>
      <c r="F22" s="97">
        <v>784</v>
      </c>
      <c r="G22" s="78">
        <v>637</v>
      </c>
      <c r="H22" s="3"/>
      <c r="I22" s="3"/>
      <c r="J22" s="3"/>
    </row>
    <row r="23" spans="1:10" x14ac:dyDescent="0.35">
      <c r="A23" s="100" t="s">
        <v>84</v>
      </c>
      <c r="B23" s="101">
        <f>SUM(B8:B22,B6)</f>
        <v>68688</v>
      </c>
      <c r="C23" s="101">
        <f t="shared" ref="C23:G23" si="0">SUM(C8:C22,C6)</f>
        <v>67853</v>
      </c>
      <c r="D23" s="102">
        <f t="shared" si="0"/>
        <v>63709</v>
      </c>
      <c r="E23" s="102">
        <f t="shared" si="0"/>
        <v>59148</v>
      </c>
      <c r="F23" s="102">
        <f t="shared" si="0"/>
        <v>54204</v>
      </c>
      <c r="G23" s="103">
        <f t="shared" si="0"/>
        <v>47031</v>
      </c>
      <c r="H23" s="3"/>
      <c r="I23" s="3"/>
      <c r="J23" s="3"/>
    </row>
    <row r="24" spans="1:10" ht="17" thickBot="1" x14ac:dyDescent="0.4">
      <c r="A24" s="195" t="s">
        <v>85</v>
      </c>
      <c r="B24" s="196"/>
      <c r="C24" s="197"/>
      <c r="D24" s="79"/>
      <c r="E24" s="79"/>
      <c r="F24" s="79"/>
      <c r="G24" s="80"/>
      <c r="H24" s="3"/>
      <c r="I24" s="3"/>
      <c r="J24" s="3"/>
    </row>
    <row r="25" spans="1:10" x14ac:dyDescent="0.35">
      <c r="A25" s="24" t="s">
        <v>31</v>
      </c>
      <c r="B25" s="33">
        <v>-8</v>
      </c>
      <c r="C25" s="45">
        <v>7</v>
      </c>
      <c r="D25" s="99" t="s">
        <v>71</v>
      </c>
      <c r="E25" s="99">
        <v>-8</v>
      </c>
      <c r="F25" s="99">
        <v>-12</v>
      </c>
      <c r="G25" s="78">
        <v>-3</v>
      </c>
      <c r="H25" s="3"/>
      <c r="I25" s="3"/>
      <c r="J25" s="3"/>
    </row>
    <row r="26" spans="1:10" x14ac:dyDescent="0.35">
      <c r="A26" s="24" t="s">
        <v>86</v>
      </c>
      <c r="B26" s="33">
        <v>-4778</v>
      </c>
      <c r="C26" s="45">
        <v>-5519</v>
      </c>
      <c r="D26" s="98">
        <v>-3327</v>
      </c>
      <c r="E26" s="98">
        <v>-6501</v>
      </c>
      <c r="F26" s="98">
        <v>-4210</v>
      </c>
      <c r="G26" s="77">
        <v>1260</v>
      </c>
      <c r="H26" s="3"/>
      <c r="I26" s="3"/>
      <c r="J26" s="3"/>
    </row>
    <row r="27" spans="1:10" x14ac:dyDescent="0.35">
      <c r="A27" s="24" t="s">
        <v>87</v>
      </c>
      <c r="B27" s="33">
        <v>-470</v>
      </c>
      <c r="C27" s="45">
        <v>291</v>
      </c>
      <c r="D27" s="97">
        <v>-5</v>
      </c>
      <c r="E27" s="98">
        <v>-1182</v>
      </c>
      <c r="F27" s="97">
        <v>-934</v>
      </c>
      <c r="G27" s="78">
        <v>-201</v>
      </c>
      <c r="H27" s="3"/>
      <c r="I27" s="3"/>
      <c r="J27" s="3"/>
    </row>
    <row r="28" spans="1:10" x14ac:dyDescent="0.35">
      <c r="A28" s="24" t="s">
        <v>88</v>
      </c>
      <c r="B28" s="33">
        <v>197</v>
      </c>
      <c r="C28" s="45">
        <v>-738</v>
      </c>
      <c r="D28" s="97">
        <v>-301</v>
      </c>
      <c r="E28" s="97">
        <v>261</v>
      </c>
      <c r="F28" s="97">
        <v>-116</v>
      </c>
      <c r="G28" s="78">
        <v>-17</v>
      </c>
      <c r="H28" s="3"/>
      <c r="I28" s="3"/>
      <c r="J28" s="3"/>
    </row>
    <row r="29" spans="1:10" x14ac:dyDescent="0.35">
      <c r="A29" s="24" t="s">
        <v>89</v>
      </c>
      <c r="B29" s="33">
        <v>837</v>
      </c>
      <c r="C29" s="45">
        <v>-2552</v>
      </c>
      <c r="D29" s="98">
        <v>-3160</v>
      </c>
      <c r="E29" s="97">
        <v>-25</v>
      </c>
      <c r="F29" s="97">
        <v>807</v>
      </c>
      <c r="G29" s="77">
        <v>-2805</v>
      </c>
      <c r="H29" s="3"/>
      <c r="I29" s="3"/>
      <c r="J29" s="3"/>
    </row>
    <row r="30" spans="1:10" x14ac:dyDescent="0.35">
      <c r="A30" s="24" t="s">
        <v>90</v>
      </c>
      <c r="B30" s="33">
        <v>-1105</v>
      </c>
      <c r="C30" s="45">
        <v>3718</v>
      </c>
      <c r="D30" s="97">
        <v>-632</v>
      </c>
      <c r="E30" s="98">
        <v>2036</v>
      </c>
      <c r="F30" s="97">
        <v>186</v>
      </c>
      <c r="G30" s="78">
        <v>-93</v>
      </c>
      <c r="H30" s="3"/>
      <c r="I30" s="3"/>
      <c r="J30" s="3"/>
    </row>
    <row r="31" spans="1:10" x14ac:dyDescent="0.35">
      <c r="A31" s="24" t="s">
        <v>91</v>
      </c>
      <c r="B31" s="33">
        <v>320</v>
      </c>
      <c r="C31" s="45">
        <v>395</v>
      </c>
      <c r="D31" s="97">
        <v>-740</v>
      </c>
      <c r="E31" s="97">
        <v>39</v>
      </c>
      <c r="F31" s="97">
        <v>-103</v>
      </c>
      <c r="G31" s="77">
        <v>1091</v>
      </c>
      <c r="H31" s="3"/>
      <c r="I31" s="3"/>
      <c r="J31" s="3"/>
    </row>
    <row r="32" spans="1:10" x14ac:dyDescent="0.35">
      <c r="A32" s="24" t="s">
        <v>92</v>
      </c>
      <c r="B32" s="33">
        <v>2814</v>
      </c>
      <c r="C32" s="45">
        <v>-119</v>
      </c>
      <c r="D32" s="97">
        <v>-695</v>
      </c>
      <c r="E32" s="98">
        <v>1417</v>
      </c>
      <c r="F32" s="98">
        <v>1153</v>
      </c>
      <c r="G32" s="78">
        <v>122</v>
      </c>
      <c r="H32" s="3"/>
      <c r="I32" s="3"/>
      <c r="J32" s="3"/>
    </row>
    <row r="33" spans="1:10" x14ac:dyDescent="0.35">
      <c r="A33" s="24" t="s">
        <v>93</v>
      </c>
      <c r="B33" s="33">
        <v>-17</v>
      </c>
      <c r="C33" s="45">
        <v>1158</v>
      </c>
      <c r="D33" s="98">
        <v>1978</v>
      </c>
      <c r="E33" s="97">
        <v>-254</v>
      </c>
      <c r="F33" s="97">
        <v>460</v>
      </c>
      <c r="G33" s="77">
        <v>1509</v>
      </c>
      <c r="H33" s="3"/>
      <c r="I33" s="3"/>
      <c r="J33" s="3"/>
    </row>
    <row r="34" spans="1:10" ht="17" thickBot="1" x14ac:dyDescent="0.4">
      <c r="A34" s="104" t="s">
        <v>94</v>
      </c>
      <c r="B34" s="105">
        <f>SUM(B25:B33)</f>
        <v>-2210</v>
      </c>
      <c r="C34" s="106">
        <f t="shared" ref="C34:G34" si="1">SUM(C25:C33)</f>
        <v>-3359</v>
      </c>
      <c r="D34" s="105">
        <f t="shared" si="1"/>
        <v>-6882</v>
      </c>
      <c r="E34" s="105">
        <f t="shared" si="1"/>
        <v>-4217</v>
      </c>
      <c r="F34" s="105">
        <f t="shared" si="1"/>
        <v>-2769</v>
      </c>
      <c r="G34" s="107">
        <f t="shared" si="1"/>
        <v>863</v>
      </c>
      <c r="H34" s="3"/>
      <c r="I34" s="3"/>
      <c r="J34" s="3"/>
    </row>
    <row r="35" spans="1:10" x14ac:dyDescent="0.35">
      <c r="A35" s="24" t="s">
        <v>95</v>
      </c>
      <c r="B35" s="35">
        <v>-14384</v>
      </c>
      <c r="C35" s="45">
        <v>-15586</v>
      </c>
      <c r="D35" s="98">
        <v>-12489</v>
      </c>
      <c r="E35" s="98">
        <v>-12966</v>
      </c>
      <c r="F35" s="98">
        <v>-11486</v>
      </c>
      <c r="G35" s="77">
        <v>-9092</v>
      </c>
      <c r="H35" s="3"/>
      <c r="I35" s="3"/>
      <c r="J35" s="3"/>
    </row>
    <row r="36" spans="1:10" ht="17" thickBot="1" x14ac:dyDescent="0.4">
      <c r="A36" s="108" t="s">
        <v>96</v>
      </c>
      <c r="B36" s="106">
        <f>B23+B34+B35</f>
        <v>52094</v>
      </c>
      <c r="C36" s="106">
        <f t="shared" ref="C36:G36" si="2">C23+C34+C35</f>
        <v>48908</v>
      </c>
      <c r="D36" s="105">
        <f t="shared" si="2"/>
        <v>44338</v>
      </c>
      <c r="E36" s="105">
        <f t="shared" si="2"/>
        <v>41965</v>
      </c>
      <c r="F36" s="105">
        <f t="shared" si="2"/>
        <v>39949</v>
      </c>
      <c r="G36" s="107">
        <f t="shared" si="2"/>
        <v>38802</v>
      </c>
      <c r="H36" s="3"/>
      <c r="I36" s="3"/>
      <c r="J36" s="3"/>
    </row>
    <row r="37" spans="1:10" ht="17" thickBot="1" x14ac:dyDescent="0.4">
      <c r="A37" s="192"/>
      <c r="B37" s="193"/>
      <c r="C37" s="193"/>
      <c r="D37" s="193"/>
      <c r="E37" s="193"/>
      <c r="F37" s="193"/>
      <c r="G37" s="194"/>
      <c r="H37" s="3"/>
      <c r="I37" s="3"/>
      <c r="J37" s="3"/>
    </row>
    <row r="38" spans="1:10" ht="16.5" customHeight="1" x14ac:dyDescent="0.35">
      <c r="A38" s="214" t="s">
        <v>97</v>
      </c>
      <c r="B38" s="215"/>
      <c r="C38" s="215"/>
      <c r="D38" s="215"/>
      <c r="E38" s="215"/>
      <c r="F38" s="215"/>
      <c r="G38" s="216"/>
      <c r="H38" s="3"/>
      <c r="I38" s="3"/>
      <c r="J38" s="3"/>
    </row>
    <row r="39" spans="1:10" ht="17" thickBot="1" x14ac:dyDescent="0.4">
      <c r="A39" s="217"/>
      <c r="B39" s="218"/>
      <c r="C39" s="218"/>
      <c r="D39" s="218"/>
      <c r="E39" s="218"/>
      <c r="F39" s="218"/>
      <c r="G39" s="219"/>
      <c r="H39" s="3"/>
      <c r="I39" s="3"/>
      <c r="J39" s="3"/>
    </row>
    <row r="40" spans="1:10" x14ac:dyDescent="0.35">
      <c r="A40" s="220"/>
      <c r="B40" s="221"/>
      <c r="C40" s="221"/>
      <c r="D40" s="221"/>
      <c r="E40" s="221"/>
      <c r="F40" s="221"/>
      <c r="G40" s="222"/>
      <c r="H40" s="3"/>
      <c r="I40" s="3"/>
      <c r="J40" s="3"/>
    </row>
    <row r="41" spans="1:10" s="115" customFormat="1" ht="23.5" customHeight="1" thickBot="1" x14ac:dyDescent="0.4">
      <c r="A41" s="76" t="s">
        <v>0</v>
      </c>
      <c r="B41" s="110" t="s">
        <v>10</v>
      </c>
      <c r="C41" s="111" t="s">
        <v>5</v>
      </c>
      <c r="D41" s="112" t="s">
        <v>4</v>
      </c>
      <c r="E41" s="112" t="s">
        <v>3</v>
      </c>
      <c r="F41" s="112" t="s">
        <v>2</v>
      </c>
      <c r="G41" s="113" t="s">
        <v>1</v>
      </c>
      <c r="H41" s="114"/>
      <c r="I41" s="114"/>
      <c r="J41" s="114"/>
    </row>
    <row r="42" spans="1:10" x14ac:dyDescent="0.35">
      <c r="A42" s="24" t="s">
        <v>98</v>
      </c>
      <c r="B42" s="33">
        <v>-8506</v>
      </c>
      <c r="C42" s="45">
        <v>-10496</v>
      </c>
      <c r="D42" s="98">
        <v>-9471</v>
      </c>
      <c r="E42" s="98">
        <v>-4548</v>
      </c>
      <c r="F42" s="98">
        <v>-15947</v>
      </c>
      <c r="G42" s="77">
        <v>-6605</v>
      </c>
      <c r="H42" s="3"/>
      <c r="I42" s="3"/>
      <c r="J42" s="3"/>
    </row>
    <row r="43" spans="1:10" x14ac:dyDescent="0.35">
      <c r="A43" s="24" t="s">
        <v>99</v>
      </c>
      <c r="B43" s="33">
        <v>-1500</v>
      </c>
      <c r="C43" s="45" t="s">
        <v>71</v>
      </c>
      <c r="D43" s="97" t="s">
        <v>71</v>
      </c>
      <c r="E43" s="98">
        <v>-8293</v>
      </c>
      <c r="F43" s="98">
        <v>-14619</v>
      </c>
      <c r="G43" s="77">
        <v>-21076</v>
      </c>
      <c r="H43" s="3"/>
      <c r="I43" s="3"/>
      <c r="J43" s="3"/>
    </row>
    <row r="44" spans="1:10" x14ac:dyDescent="0.35">
      <c r="A44" s="24" t="s">
        <v>100</v>
      </c>
      <c r="B44" s="33">
        <v>-151864</v>
      </c>
      <c r="C44" s="45">
        <v>-145962</v>
      </c>
      <c r="D44" s="98">
        <v>-141011</v>
      </c>
      <c r="E44" s="98">
        <v>-129745</v>
      </c>
      <c r="F44" s="98">
        <v>-75374</v>
      </c>
      <c r="G44" s="77">
        <v>-54462</v>
      </c>
      <c r="H44" s="3"/>
      <c r="I44" s="3"/>
      <c r="J44" s="3"/>
    </row>
    <row r="45" spans="1:10" x14ac:dyDescent="0.35">
      <c r="A45" s="24" t="s">
        <v>101</v>
      </c>
      <c r="B45" s="33">
        <v>-3670</v>
      </c>
      <c r="C45" s="45">
        <v>-2917</v>
      </c>
      <c r="D45" s="98">
        <v>-2202</v>
      </c>
      <c r="E45" s="98">
        <v>-2532</v>
      </c>
      <c r="F45" s="98">
        <v>-2483</v>
      </c>
      <c r="G45" s="77">
        <v>-2719</v>
      </c>
      <c r="H45" s="3"/>
      <c r="I45" s="3"/>
      <c r="J45" s="3"/>
    </row>
    <row r="46" spans="1:10" x14ac:dyDescent="0.35">
      <c r="A46" s="24" t="s">
        <v>102</v>
      </c>
      <c r="B46" s="33">
        <v>-109</v>
      </c>
      <c r="C46" s="45">
        <v>-76</v>
      </c>
      <c r="D46" s="97">
        <v>-30</v>
      </c>
      <c r="E46" s="97">
        <v>-213</v>
      </c>
      <c r="F46" s="97">
        <v>-15</v>
      </c>
      <c r="G46" s="78">
        <v>-101</v>
      </c>
      <c r="H46" s="3"/>
      <c r="I46" s="3"/>
      <c r="J46" s="3"/>
    </row>
    <row r="47" spans="1:10" x14ac:dyDescent="0.35">
      <c r="A47" s="24" t="s">
        <v>103</v>
      </c>
      <c r="B47" s="33">
        <v>-367</v>
      </c>
      <c r="C47" s="45">
        <v>-944</v>
      </c>
      <c r="D47" s="97">
        <v>-442</v>
      </c>
      <c r="E47" s="97">
        <v>-355</v>
      </c>
      <c r="F47" s="97">
        <v>-497</v>
      </c>
      <c r="G47" s="78">
        <v>-356</v>
      </c>
      <c r="H47" s="3"/>
      <c r="I47" s="3"/>
      <c r="J47" s="3"/>
    </row>
    <row r="48" spans="1:10" x14ac:dyDescent="0.35">
      <c r="A48" s="24" t="s">
        <v>104</v>
      </c>
      <c r="B48" s="33">
        <v>-530</v>
      </c>
      <c r="C48" s="45" t="s">
        <v>71</v>
      </c>
      <c r="D48" s="97" t="s">
        <v>71</v>
      </c>
      <c r="E48" s="97" t="s">
        <v>71</v>
      </c>
      <c r="F48" s="97" t="s">
        <v>71</v>
      </c>
      <c r="G48" s="78" t="s">
        <v>71</v>
      </c>
      <c r="H48" s="3"/>
      <c r="I48" s="3"/>
      <c r="J48" s="3"/>
    </row>
    <row r="49" spans="1:10" x14ac:dyDescent="0.35">
      <c r="A49" s="24" t="s">
        <v>105</v>
      </c>
      <c r="B49" s="33">
        <v>-554</v>
      </c>
      <c r="C49" s="45">
        <v>-1063</v>
      </c>
      <c r="D49" s="97" t="s">
        <v>71</v>
      </c>
      <c r="E49" s="97" t="s">
        <v>71</v>
      </c>
      <c r="F49" s="97" t="s">
        <v>71</v>
      </c>
      <c r="G49" s="78" t="s">
        <v>71</v>
      </c>
      <c r="H49" s="3"/>
      <c r="I49" s="3"/>
      <c r="J49" s="3"/>
    </row>
    <row r="50" spans="1:10" x14ac:dyDescent="0.35">
      <c r="A50" s="24" t="s">
        <v>106</v>
      </c>
      <c r="B50" s="33">
        <v>-6750</v>
      </c>
      <c r="C50" s="45" t="s">
        <v>71</v>
      </c>
      <c r="D50" s="97" t="s">
        <v>71</v>
      </c>
      <c r="E50" s="97" t="s">
        <v>71</v>
      </c>
      <c r="F50" s="97" t="s">
        <v>71</v>
      </c>
      <c r="G50" s="78" t="s">
        <v>71</v>
      </c>
      <c r="H50" s="3"/>
      <c r="I50" s="3"/>
      <c r="J50" s="3"/>
    </row>
    <row r="51" spans="1:10" x14ac:dyDescent="0.35">
      <c r="A51" s="24" t="s">
        <v>107</v>
      </c>
      <c r="B51" s="33">
        <v>-250</v>
      </c>
      <c r="C51" s="45" t="s">
        <v>71</v>
      </c>
      <c r="D51" s="97" t="s">
        <v>71</v>
      </c>
      <c r="E51" s="97" t="s">
        <v>71</v>
      </c>
      <c r="F51" s="97" t="s">
        <v>71</v>
      </c>
      <c r="G51" s="78" t="s">
        <v>71</v>
      </c>
      <c r="H51" s="3"/>
      <c r="I51" s="3"/>
      <c r="J51" s="3"/>
    </row>
    <row r="52" spans="1:10" x14ac:dyDescent="0.35">
      <c r="A52" s="24" t="s">
        <v>108</v>
      </c>
      <c r="B52" s="33">
        <v>9259</v>
      </c>
      <c r="C52" s="45">
        <v>8177</v>
      </c>
      <c r="D52" s="98">
        <v>8089</v>
      </c>
      <c r="E52" s="98">
        <v>6252</v>
      </c>
      <c r="F52" s="98">
        <v>11950</v>
      </c>
      <c r="G52" s="77">
        <v>4767</v>
      </c>
      <c r="H52" s="3"/>
      <c r="I52" s="3"/>
      <c r="J52" s="3"/>
    </row>
    <row r="53" spans="1:10" x14ac:dyDescent="0.35">
      <c r="A53" s="24" t="s">
        <v>109</v>
      </c>
      <c r="B53" s="33" t="s">
        <v>71</v>
      </c>
      <c r="C53" s="45">
        <v>170</v>
      </c>
      <c r="D53" s="97">
        <v>846</v>
      </c>
      <c r="E53" s="98">
        <v>13654</v>
      </c>
      <c r="F53" s="98">
        <v>19498</v>
      </c>
      <c r="G53" s="77">
        <v>18018</v>
      </c>
      <c r="H53" s="3"/>
      <c r="I53" s="3"/>
      <c r="J53" s="3"/>
    </row>
    <row r="54" spans="1:10" x14ac:dyDescent="0.35">
      <c r="A54" s="24" t="s">
        <v>110</v>
      </c>
      <c r="B54" s="33">
        <v>148023</v>
      </c>
      <c r="C54" s="45">
        <v>147695</v>
      </c>
      <c r="D54" s="98">
        <v>147204</v>
      </c>
      <c r="E54" s="98">
        <v>122687</v>
      </c>
      <c r="F54" s="98">
        <v>73852</v>
      </c>
      <c r="G54" s="77">
        <v>51630</v>
      </c>
      <c r="H54" s="3"/>
      <c r="I54" s="3"/>
      <c r="J54" s="3"/>
    </row>
    <row r="55" spans="1:10" x14ac:dyDescent="0.35">
      <c r="A55" s="24" t="s">
        <v>111</v>
      </c>
      <c r="B55" s="33">
        <v>9</v>
      </c>
      <c r="C55" s="45">
        <v>5</v>
      </c>
      <c r="D55" s="97">
        <v>3</v>
      </c>
      <c r="E55" s="97">
        <v>2</v>
      </c>
      <c r="F55" s="97">
        <v>3</v>
      </c>
      <c r="G55" s="78" t="s">
        <v>71</v>
      </c>
      <c r="H55" s="3"/>
      <c r="I55" s="3"/>
      <c r="J55" s="3"/>
    </row>
    <row r="56" spans="1:10" x14ac:dyDescent="0.35">
      <c r="A56" s="24" t="s">
        <v>112</v>
      </c>
      <c r="B56" s="33">
        <v>65</v>
      </c>
      <c r="C56" s="45">
        <v>23</v>
      </c>
      <c r="D56" s="97">
        <v>17</v>
      </c>
      <c r="E56" s="97">
        <v>37</v>
      </c>
      <c r="F56" s="97">
        <v>31</v>
      </c>
      <c r="G56" s="78">
        <v>37</v>
      </c>
      <c r="H56" s="3"/>
      <c r="I56" s="3"/>
      <c r="J56" s="3"/>
    </row>
    <row r="57" spans="1:10" x14ac:dyDescent="0.35">
      <c r="A57" s="24" t="s">
        <v>113</v>
      </c>
      <c r="B57" s="33">
        <v>825</v>
      </c>
      <c r="C57" s="45" t="s">
        <v>71</v>
      </c>
      <c r="D57" s="97" t="s">
        <v>71</v>
      </c>
      <c r="E57" s="97" t="s">
        <v>71</v>
      </c>
      <c r="F57" s="97" t="s">
        <v>71</v>
      </c>
      <c r="G57" s="78" t="s">
        <v>71</v>
      </c>
      <c r="H57" s="3"/>
      <c r="I57" s="3"/>
      <c r="J57" s="3"/>
    </row>
    <row r="58" spans="1:10" x14ac:dyDescent="0.35">
      <c r="A58" s="24" t="s">
        <v>114</v>
      </c>
      <c r="B58" s="33">
        <v>3008</v>
      </c>
      <c r="C58" s="45">
        <v>3056</v>
      </c>
      <c r="D58" s="98">
        <v>2990</v>
      </c>
      <c r="E58" s="98">
        <v>3080</v>
      </c>
      <c r="F58" s="98">
        <v>2700</v>
      </c>
      <c r="G58" s="77">
        <v>2730</v>
      </c>
      <c r="H58" s="3"/>
      <c r="I58" s="3"/>
      <c r="J58" s="3"/>
    </row>
    <row r="59" spans="1:10" x14ac:dyDescent="0.35">
      <c r="A59" s="24" t="s">
        <v>115</v>
      </c>
      <c r="B59" s="33">
        <v>84</v>
      </c>
      <c r="C59" s="45">
        <v>40</v>
      </c>
      <c r="D59" s="97">
        <v>26</v>
      </c>
      <c r="E59" s="97">
        <v>13</v>
      </c>
      <c r="F59" s="97">
        <v>4</v>
      </c>
      <c r="G59" s="78">
        <v>8</v>
      </c>
      <c r="H59" s="3"/>
      <c r="I59" s="3"/>
      <c r="J59" s="3"/>
    </row>
    <row r="60" spans="1:10" x14ac:dyDescent="0.35">
      <c r="A60" s="24" t="s">
        <v>116</v>
      </c>
      <c r="B60" s="33" t="s">
        <v>71</v>
      </c>
      <c r="C60" s="45">
        <v>-29</v>
      </c>
      <c r="D60" s="97" t="s">
        <v>71</v>
      </c>
      <c r="E60" s="97" t="s">
        <v>71</v>
      </c>
      <c r="F60" s="97" t="s">
        <v>71</v>
      </c>
      <c r="G60" s="78" t="s">
        <v>71</v>
      </c>
      <c r="H60" s="3"/>
      <c r="I60" s="3"/>
      <c r="J60" s="3"/>
    </row>
    <row r="61" spans="1:10" x14ac:dyDescent="0.35">
      <c r="A61" s="24" t="s">
        <v>117</v>
      </c>
      <c r="B61" s="33" t="s">
        <v>71</v>
      </c>
      <c r="C61" s="45">
        <v>3</v>
      </c>
      <c r="D61" s="97" t="s">
        <v>71</v>
      </c>
      <c r="E61" s="97" t="s">
        <v>71</v>
      </c>
      <c r="F61" s="97" t="s">
        <v>71</v>
      </c>
      <c r="G61" s="78" t="s">
        <v>71</v>
      </c>
      <c r="H61" s="3"/>
      <c r="I61" s="3"/>
      <c r="J61" s="3"/>
    </row>
    <row r="62" spans="1:10" x14ac:dyDescent="0.35">
      <c r="A62" s="24" t="s">
        <v>80</v>
      </c>
      <c r="B62" s="33">
        <v>-18</v>
      </c>
      <c r="C62" s="45" t="s">
        <v>71</v>
      </c>
      <c r="D62" s="97" t="s">
        <v>71</v>
      </c>
      <c r="E62" s="97" t="s">
        <v>71</v>
      </c>
      <c r="F62" s="97" t="s">
        <v>71</v>
      </c>
      <c r="G62" s="78" t="s">
        <v>71</v>
      </c>
      <c r="H62" s="3"/>
      <c r="I62" s="3"/>
      <c r="J62" s="3"/>
    </row>
    <row r="63" spans="1:10" ht="17" thickBot="1" x14ac:dyDescent="0.4">
      <c r="A63" s="104" t="s">
        <v>118</v>
      </c>
      <c r="B63" s="105">
        <f>SUM(B42:B62)</f>
        <v>-12845</v>
      </c>
      <c r="C63" s="105">
        <f t="shared" ref="C63:G63" si="3">SUM(C42:C62)</f>
        <v>-2318</v>
      </c>
      <c r="D63" s="105">
        <f t="shared" si="3"/>
        <v>6019</v>
      </c>
      <c r="E63" s="105">
        <f t="shared" si="3"/>
        <v>39</v>
      </c>
      <c r="F63" s="105">
        <f t="shared" si="3"/>
        <v>-897</v>
      </c>
      <c r="G63" s="107">
        <f t="shared" si="3"/>
        <v>-8129</v>
      </c>
      <c r="H63" s="3"/>
      <c r="I63" s="3"/>
      <c r="J63" s="3"/>
    </row>
    <row r="64" spans="1:10" ht="17" thickBot="1" x14ac:dyDescent="0.4">
      <c r="A64" s="192"/>
      <c r="B64" s="193"/>
      <c r="C64" s="193"/>
      <c r="D64" s="193"/>
      <c r="E64" s="193"/>
      <c r="F64" s="193"/>
      <c r="G64" s="194"/>
      <c r="H64" s="3"/>
      <c r="I64" s="3"/>
      <c r="J64" s="3"/>
    </row>
    <row r="65" spans="1:10" ht="16.5" customHeight="1" x14ac:dyDescent="0.35">
      <c r="A65" s="214" t="s">
        <v>119</v>
      </c>
      <c r="B65" s="215"/>
      <c r="C65" s="215"/>
      <c r="D65" s="215"/>
      <c r="E65" s="215"/>
      <c r="F65" s="215"/>
      <c r="G65" s="216"/>
      <c r="H65" s="3"/>
      <c r="I65" s="3"/>
      <c r="J65" s="3"/>
    </row>
    <row r="66" spans="1:10" ht="17" customHeight="1" thickBot="1" x14ac:dyDescent="0.4">
      <c r="A66" s="217"/>
      <c r="B66" s="218"/>
      <c r="C66" s="218"/>
      <c r="D66" s="218"/>
      <c r="E66" s="218"/>
      <c r="F66" s="218"/>
      <c r="G66" s="219"/>
      <c r="H66" s="3"/>
      <c r="I66" s="3"/>
      <c r="J66" s="3"/>
    </row>
    <row r="67" spans="1:10" x14ac:dyDescent="0.35">
      <c r="A67" s="189"/>
      <c r="B67" s="190"/>
      <c r="C67" s="190"/>
      <c r="D67" s="190"/>
      <c r="E67" s="190"/>
      <c r="F67" s="190"/>
      <c r="G67" s="191"/>
      <c r="H67" s="3"/>
      <c r="I67" s="3"/>
      <c r="J67" s="3"/>
    </row>
    <row r="68" spans="1:10" s="115" customFormat="1" ht="23" customHeight="1" thickBot="1" x14ac:dyDescent="0.4">
      <c r="A68" s="76" t="s">
        <v>0</v>
      </c>
      <c r="B68" s="110" t="s">
        <v>10</v>
      </c>
      <c r="C68" s="111" t="s">
        <v>5</v>
      </c>
      <c r="D68" s="112" t="s">
        <v>4</v>
      </c>
      <c r="E68" s="112" t="s">
        <v>3</v>
      </c>
      <c r="F68" s="112" t="s">
        <v>2</v>
      </c>
      <c r="G68" s="113" t="s">
        <v>1</v>
      </c>
      <c r="H68" s="114"/>
      <c r="I68" s="114"/>
      <c r="J68" s="114"/>
    </row>
    <row r="69" spans="1:10" x14ac:dyDescent="0.35">
      <c r="A69" s="24" t="s">
        <v>120</v>
      </c>
      <c r="B69" s="33">
        <v>-1861</v>
      </c>
      <c r="C69" s="45">
        <v>-1664</v>
      </c>
      <c r="D69" s="98">
        <v>-1624</v>
      </c>
      <c r="E69" s="98">
        <v>-1554</v>
      </c>
      <c r="F69" s="98">
        <v>-1474</v>
      </c>
      <c r="G69" s="77">
        <v>-1345</v>
      </c>
      <c r="H69" s="3"/>
      <c r="I69" s="3"/>
      <c r="J69" s="3"/>
    </row>
    <row r="70" spans="1:10" x14ac:dyDescent="0.35">
      <c r="A70" s="24" t="s">
        <v>121</v>
      </c>
      <c r="B70" s="33">
        <v>-901</v>
      </c>
      <c r="C70" s="45">
        <v>-840</v>
      </c>
      <c r="D70" s="97">
        <v>-748</v>
      </c>
      <c r="E70" s="97">
        <v>-760</v>
      </c>
      <c r="F70" s="97">
        <v>-768</v>
      </c>
      <c r="G70" s="78">
        <v>-624</v>
      </c>
      <c r="H70" s="3"/>
      <c r="I70" s="3"/>
      <c r="J70" s="3"/>
    </row>
    <row r="71" spans="1:10" x14ac:dyDescent="0.35">
      <c r="A71" s="24" t="s">
        <v>122</v>
      </c>
      <c r="B71" s="33">
        <v>-39437</v>
      </c>
      <c r="C71" s="45">
        <v>-44864</v>
      </c>
      <c r="D71" s="98">
        <v>-42628</v>
      </c>
      <c r="E71" s="98">
        <v>-41440</v>
      </c>
      <c r="F71" s="98">
        <v>-38246</v>
      </c>
      <c r="G71" s="77">
        <v>-32925</v>
      </c>
      <c r="H71" s="3"/>
      <c r="I71" s="3"/>
      <c r="J71" s="3"/>
    </row>
    <row r="72" spans="1:10" x14ac:dyDescent="0.35">
      <c r="A72" s="24" t="s">
        <v>123</v>
      </c>
      <c r="B72" s="33">
        <v>-134</v>
      </c>
      <c r="C72" s="45">
        <v>-98</v>
      </c>
      <c r="D72" s="97">
        <v>-82</v>
      </c>
      <c r="E72" s="97">
        <v>-65</v>
      </c>
      <c r="F72" s="97">
        <v>-58</v>
      </c>
      <c r="G72" s="78">
        <v>-53</v>
      </c>
      <c r="H72" s="3"/>
      <c r="I72" s="3"/>
      <c r="J72" s="3"/>
    </row>
    <row r="73" spans="1:10" x14ac:dyDescent="0.35">
      <c r="A73" s="24" t="s">
        <v>124</v>
      </c>
      <c r="B73" s="33" t="s">
        <v>71</v>
      </c>
      <c r="C73" s="45">
        <v>28</v>
      </c>
      <c r="D73" s="97" t="s">
        <v>71</v>
      </c>
      <c r="E73" s="97" t="s">
        <v>71</v>
      </c>
      <c r="F73" s="97" t="s">
        <v>71</v>
      </c>
      <c r="G73" s="78" t="s">
        <v>71</v>
      </c>
      <c r="H73" s="3"/>
      <c r="I73" s="3"/>
      <c r="J73" s="3"/>
    </row>
    <row r="74" spans="1:10" x14ac:dyDescent="0.35">
      <c r="A74" s="24" t="s">
        <v>125</v>
      </c>
      <c r="B74" s="33">
        <v>3</v>
      </c>
      <c r="C74" s="45" t="s">
        <v>71</v>
      </c>
      <c r="D74" s="97" t="s">
        <v>71</v>
      </c>
      <c r="E74" s="97" t="s">
        <v>71</v>
      </c>
      <c r="F74" s="97" t="s">
        <v>71</v>
      </c>
      <c r="G74" s="78" t="s">
        <v>71</v>
      </c>
      <c r="H74" s="3"/>
      <c r="I74" s="3"/>
      <c r="J74" s="3"/>
    </row>
    <row r="75" spans="1:10" ht="33" x14ac:dyDescent="0.35">
      <c r="A75" s="24" t="s">
        <v>126</v>
      </c>
      <c r="B75" s="33">
        <v>71</v>
      </c>
      <c r="C75" s="45" t="s">
        <v>71</v>
      </c>
      <c r="D75" s="97" t="s">
        <v>71</v>
      </c>
      <c r="E75" s="97" t="s">
        <v>71</v>
      </c>
      <c r="F75" s="97" t="s">
        <v>71</v>
      </c>
      <c r="G75" s="78" t="s">
        <v>71</v>
      </c>
      <c r="H75" s="3"/>
      <c r="I75" s="3"/>
      <c r="J75" s="3"/>
    </row>
    <row r="76" spans="1:10" x14ac:dyDescent="0.35">
      <c r="A76" s="24" t="s">
        <v>127</v>
      </c>
      <c r="B76" s="33">
        <v>126</v>
      </c>
      <c r="C76" s="45" t="s">
        <v>71</v>
      </c>
      <c r="D76" s="97" t="s">
        <v>71</v>
      </c>
      <c r="E76" s="97" t="s">
        <v>71</v>
      </c>
      <c r="F76" s="97" t="s">
        <v>71</v>
      </c>
      <c r="G76" s="78" t="s">
        <v>71</v>
      </c>
      <c r="H76" s="3"/>
      <c r="I76" s="3"/>
      <c r="J76" s="3"/>
    </row>
    <row r="77" spans="1:10" ht="17" thickBot="1" x14ac:dyDescent="0.4">
      <c r="A77" s="104" t="s">
        <v>128</v>
      </c>
      <c r="B77" s="105">
        <f>SUM(B69:B76)</f>
        <v>-42133</v>
      </c>
      <c r="C77" s="105">
        <f t="shared" ref="C77:G77" si="4">SUM(C69:C76)</f>
        <v>-47438</v>
      </c>
      <c r="D77" s="105">
        <f t="shared" si="4"/>
        <v>-45082</v>
      </c>
      <c r="E77" s="105">
        <f t="shared" si="4"/>
        <v>-43819</v>
      </c>
      <c r="F77" s="105">
        <f t="shared" si="4"/>
        <v>-40546</v>
      </c>
      <c r="G77" s="107">
        <f t="shared" si="4"/>
        <v>-34947</v>
      </c>
      <c r="H77" s="3"/>
      <c r="I77" s="3"/>
      <c r="J77" s="3"/>
    </row>
    <row r="78" spans="1:10" ht="17" thickBot="1" x14ac:dyDescent="0.4">
      <c r="A78" s="192"/>
      <c r="B78" s="193"/>
      <c r="C78" s="193"/>
      <c r="D78" s="193"/>
      <c r="E78" s="193"/>
      <c r="F78" s="193"/>
      <c r="G78" s="194"/>
      <c r="H78" s="3"/>
      <c r="I78" s="3"/>
      <c r="J78" s="3"/>
    </row>
    <row r="79" spans="1:10" ht="16.5" customHeight="1" x14ac:dyDescent="0.35">
      <c r="A79" s="214" t="s">
        <v>129</v>
      </c>
      <c r="B79" s="215"/>
      <c r="C79" s="215"/>
      <c r="D79" s="215"/>
      <c r="E79" s="215"/>
      <c r="F79" s="215"/>
      <c r="G79" s="216"/>
      <c r="H79" s="3"/>
      <c r="I79" s="3"/>
      <c r="J79" s="3"/>
    </row>
    <row r="80" spans="1:10" ht="17" customHeight="1" thickBot="1" x14ac:dyDescent="0.4">
      <c r="A80" s="217"/>
      <c r="B80" s="218"/>
      <c r="C80" s="218"/>
      <c r="D80" s="218"/>
      <c r="E80" s="218"/>
      <c r="F80" s="218"/>
      <c r="G80" s="219"/>
      <c r="H80" s="3"/>
      <c r="I80" s="3"/>
      <c r="J80" s="3"/>
    </row>
    <row r="81" spans="1:10" x14ac:dyDescent="0.35">
      <c r="A81" s="189"/>
      <c r="B81" s="190"/>
      <c r="C81" s="190"/>
      <c r="D81" s="190"/>
      <c r="E81" s="190"/>
      <c r="F81" s="190"/>
      <c r="G81" s="191"/>
      <c r="H81" s="3"/>
      <c r="I81" s="3"/>
      <c r="J81" s="3"/>
    </row>
    <row r="82" spans="1:10" s="115" customFormat="1" ht="25.5" customHeight="1" thickBot="1" x14ac:dyDescent="0.4">
      <c r="A82" s="76" t="s">
        <v>0</v>
      </c>
      <c r="B82" s="110" t="s">
        <v>10</v>
      </c>
      <c r="C82" s="111" t="s">
        <v>5</v>
      </c>
      <c r="D82" s="112" t="s">
        <v>4</v>
      </c>
      <c r="E82" s="112" t="s">
        <v>3</v>
      </c>
      <c r="F82" s="112" t="s">
        <v>2</v>
      </c>
      <c r="G82" s="113" t="s">
        <v>1</v>
      </c>
      <c r="H82" s="114"/>
      <c r="I82" s="114"/>
      <c r="J82" s="114"/>
    </row>
    <row r="83" spans="1:10" x14ac:dyDescent="0.35">
      <c r="A83" s="24" t="s">
        <v>130</v>
      </c>
      <c r="B83" s="33">
        <v>-2884</v>
      </c>
      <c r="C83" s="45">
        <v>-848</v>
      </c>
      <c r="D83" s="98">
        <v>5282</v>
      </c>
      <c r="E83" s="98">
        <v>-1815</v>
      </c>
      <c r="F83" s="98">
        <v>-1494</v>
      </c>
      <c r="G83" s="77">
        <v>-4274</v>
      </c>
      <c r="H83" s="3"/>
      <c r="I83" s="3"/>
      <c r="J83" s="3"/>
    </row>
    <row r="84" spans="1:10" x14ac:dyDescent="0.35">
      <c r="A84" s="24" t="s">
        <v>131</v>
      </c>
      <c r="B84" s="33">
        <v>8342</v>
      </c>
      <c r="C84" s="45">
        <v>9016</v>
      </c>
      <c r="D84" s="98">
        <v>3060</v>
      </c>
      <c r="E84" s="98">
        <v>4884</v>
      </c>
      <c r="F84" s="98">
        <v>6415</v>
      </c>
      <c r="G84" s="77">
        <v>10691</v>
      </c>
      <c r="H84" s="3"/>
      <c r="I84" s="3"/>
      <c r="J84" s="3"/>
    </row>
    <row r="85" spans="1:10" ht="33" x14ac:dyDescent="0.35">
      <c r="A85" s="24" t="s">
        <v>132</v>
      </c>
      <c r="B85" s="33">
        <v>959</v>
      </c>
      <c r="C85" s="45">
        <v>174</v>
      </c>
      <c r="D85" s="97">
        <v>565</v>
      </c>
      <c r="E85" s="97">
        <v>-9</v>
      </c>
      <c r="F85" s="97">
        <v>-37</v>
      </c>
      <c r="G85" s="78">
        <v>-2</v>
      </c>
      <c r="H85" s="3"/>
      <c r="I85" s="3"/>
      <c r="J85" s="3"/>
    </row>
    <row r="86" spans="1:10" ht="17" thickBot="1" x14ac:dyDescent="0.4">
      <c r="A86" s="104" t="s">
        <v>133</v>
      </c>
      <c r="B86" s="105">
        <f>SUM(B83:B85)</f>
        <v>6417</v>
      </c>
      <c r="C86" s="105">
        <f t="shared" ref="C86:G86" si="5">SUM(C83:C85)</f>
        <v>8342</v>
      </c>
      <c r="D86" s="105">
        <f t="shared" si="5"/>
        <v>8907</v>
      </c>
      <c r="E86" s="105">
        <f t="shared" si="5"/>
        <v>3060</v>
      </c>
      <c r="F86" s="105">
        <f t="shared" si="5"/>
        <v>4884</v>
      </c>
      <c r="G86" s="107">
        <f t="shared" si="5"/>
        <v>6415</v>
      </c>
      <c r="H86" s="3"/>
      <c r="I86" s="3"/>
      <c r="J86" s="3"/>
    </row>
    <row r="87" spans="1:10" ht="17" thickBot="1" x14ac:dyDescent="0.4">
      <c r="A87" s="192"/>
      <c r="B87" s="193"/>
      <c r="C87" s="193"/>
      <c r="D87" s="193"/>
      <c r="E87" s="193"/>
      <c r="F87" s="193"/>
      <c r="G87" s="194"/>
      <c r="H87" s="3"/>
      <c r="I87" s="3"/>
      <c r="J87" s="3"/>
    </row>
    <row r="88" spans="1:10" ht="16.5" customHeight="1" x14ac:dyDescent="0.35">
      <c r="A88" s="214" t="s">
        <v>134</v>
      </c>
      <c r="B88" s="215"/>
      <c r="C88" s="215"/>
      <c r="D88" s="215"/>
      <c r="E88" s="215"/>
      <c r="F88" s="215"/>
      <c r="G88" s="216"/>
      <c r="H88" s="3"/>
      <c r="I88" s="3"/>
      <c r="J88" s="3"/>
    </row>
    <row r="89" spans="1:10" ht="17" customHeight="1" thickBot="1" x14ac:dyDescent="0.4">
      <c r="A89" s="217"/>
      <c r="B89" s="218"/>
      <c r="C89" s="218"/>
      <c r="D89" s="218"/>
      <c r="E89" s="218"/>
      <c r="F89" s="218"/>
      <c r="G89" s="219"/>
      <c r="H89" s="3"/>
      <c r="I89" s="3"/>
      <c r="J89" s="3"/>
    </row>
    <row r="90" spans="1:10" x14ac:dyDescent="0.35">
      <c r="A90" s="189"/>
      <c r="B90" s="190"/>
      <c r="C90" s="190"/>
      <c r="D90" s="190"/>
      <c r="E90" s="190"/>
      <c r="F90" s="190"/>
      <c r="G90" s="191"/>
      <c r="H90" s="3"/>
      <c r="I90" s="3"/>
      <c r="J90" s="3"/>
    </row>
    <row r="91" spans="1:10" s="115" customFormat="1" ht="20.5" customHeight="1" thickBot="1" x14ac:dyDescent="0.4">
      <c r="A91" s="76" t="s">
        <v>0</v>
      </c>
      <c r="B91" s="110" t="s">
        <v>10</v>
      </c>
      <c r="C91" s="111" t="s">
        <v>5</v>
      </c>
      <c r="D91" s="112" t="s">
        <v>4</v>
      </c>
      <c r="E91" s="112" t="s">
        <v>3</v>
      </c>
      <c r="F91" s="112" t="s">
        <v>2</v>
      </c>
      <c r="G91" s="113" t="s">
        <v>1</v>
      </c>
      <c r="H91" s="114"/>
      <c r="I91" s="114"/>
      <c r="J91" s="114"/>
    </row>
    <row r="92" spans="1:10" x14ac:dyDescent="0.35">
      <c r="A92" s="24" t="s">
        <v>135</v>
      </c>
      <c r="B92" s="33">
        <v>3193</v>
      </c>
      <c r="C92" s="45">
        <v>3421</v>
      </c>
      <c r="D92" s="98">
        <v>3823</v>
      </c>
      <c r="E92" s="98">
        <v>1590</v>
      </c>
      <c r="F92" s="98">
        <v>2747</v>
      </c>
      <c r="G92" s="77">
        <v>2522</v>
      </c>
      <c r="H92" s="3"/>
      <c r="I92" s="3"/>
      <c r="J92" s="3"/>
    </row>
    <row r="93" spans="1:10" x14ac:dyDescent="0.35">
      <c r="A93" s="24" t="s">
        <v>136</v>
      </c>
      <c r="B93" s="33">
        <v>3217</v>
      </c>
      <c r="C93" s="45">
        <v>4907</v>
      </c>
      <c r="D93" s="98">
        <v>4907</v>
      </c>
      <c r="E93" s="98">
        <v>1462</v>
      </c>
      <c r="F93" s="98">
        <v>1959</v>
      </c>
      <c r="G93" s="77">
        <v>1112</v>
      </c>
      <c r="H93" s="3"/>
      <c r="I93" s="3"/>
      <c r="J93" s="3"/>
    </row>
    <row r="94" spans="1:10" x14ac:dyDescent="0.35">
      <c r="A94" s="24" t="s">
        <v>137</v>
      </c>
      <c r="B94" s="38" t="s">
        <v>138</v>
      </c>
      <c r="C94" s="46" t="s">
        <v>138</v>
      </c>
      <c r="D94" s="97" t="s">
        <v>138</v>
      </c>
      <c r="E94" s="97" t="s">
        <v>138</v>
      </c>
      <c r="F94" s="97" t="s">
        <v>138</v>
      </c>
      <c r="G94" s="78" t="s">
        <v>138</v>
      </c>
      <c r="H94" s="3"/>
      <c r="I94" s="3"/>
      <c r="J94" s="3"/>
    </row>
    <row r="95" spans="1:10" x14ac:dyDescent="0.35">
      <c r="A95" s="24" t="s">
        <v>139</v>
      </c>
      <c r="B95" s="38" t="s">
        <v>138</v>
      </c>
      <c r="C95" s="46" t="s">
        <v>138</v>
      </c>
      <c r="D95" s="97" t="s">
        <v>138</v>
      </c>
      <c r="E95" s="97" t="s">
        <v>138</v>
      </c>
      <c r="F95" s="97" t="s">
        <v>138</v>
      </c>
      <c r="G95" s="78" t="s">
        <v>138</v>
      </c>
      <c r="H95" s="3"/>
      <c r="I95" s="3"/>
      <c r="J95" s="3"/>
    </row>
    <row r="96" spans="1:10" x14ac:dyDescent="0.35">
      <c r="A96" s="24" t="s">
        <v>140</v>
      </c>
      <c r="B96" s="33">
        <v>7</v>
      </c>
      <c r="C96" s="45">
        <v>14</v>
      </c>
      <c r="D96" s="97">
        <v>177</v>
      </c>
      <c r="E96" s="97">
        <v>8</v>
      </c>
      <c r="F96" s="97">
        <v>178</v>
      </c>
      <c r="G96" s="77">
        <v>2781</v>
      </c>
      <c r="H96" s="3"/>
      <c r="I96" s="3"/>
      <c r="J96" s="3"/>
    </row>
    <row r="97" spans="1:10" ht="17" thickBot="1" x14ac:dyDescent="0.4">
      <c r="A97" s="104" t="s">
        <v>141</v>
      </c>
      <c r="B97" s="105">
        <f>SUM(B92:B96)</f>
        <v>6417</v>
      </c>
      <c r="C97" s="105">
        <f t="shared" ref="C97:G97" si="6">SUM(C92:C96)</f>
        <v>8342</v>
      </c>
      <c r="D97" s="105">
        <f t="shared" si="6"/>
        <v>8907</v>
      </c>
      <c r="E97" s="105">
        <f t="shared" si="6"/>
        <v>3060</v>
      </c>
      <c r="F97" s="105">
        <f t="shared" si="6"/>
        <v>4884</v>
      </c>
      <c r="G97" s="107">
        <f t="shared" si="6"/>
        <v>6415</v>
      </c>
      <c r="H97" s="3"/>
      <c r="I97" s="3"/>
      <c r="J97" s="3"/>
    </row>
    <row r="98" spans="1:10" x14ac:dyDescent="0.35">
      <c r="D98" s="3"/>
      <c r="E98" s="3"/>
      <c r="F98" s="3"/>
      <c r="G98" s="3"/>
      <c r="H98" s="3"/>
      <c r="I98" s="3"/>
      <c r="J98" s="3"/>
    </row>
    <row r="99" spans="1:10" x14ac:dyDescent="0.35">
      <c r="D99" s="3"/>
      <c r="E99" s="3"/>
      <c r="F99" s="3"/>
      <c r="G99" s="3"/>
      <c r="H99" s="3"/>
      <c r="I99" s="3"/>
      <c r="J99" s="3"/>
    </row>
    <row r="100" spans="1:10" x14ac:dyDescent="0.35">
      <c r="D100" s="3"/>
      <c r="E100" s="3"/>
      <c r="F100" s="3"/>
      <c r="G100" s="3"/>
      <c r="H100" s="3"/>
      <c r="I100" s="3"/>
      <c r="J100" s="3"/>
    </row>
    <row r="101" spans="1:10" x14ac:dyDescent="0.35">
      <c r="D101" s="3"/>
      <c r="E101" s="3"/>
      <c r="F101" s="3"/>
      <c r="G101" s="3"/>
      <c r="H101" s="3"/>
      <c r="I101" s="3"/>
      <c r="J101" s="3"/>
    </row>
    <row r="102" spans="1:10" x14ac:dyDescent="0.35">
      <c r="D102" s="3"/>
      <c r="E102" s="3"/>
      <c r="F102" s="3"/>
      <c r="G102" s="3"/>
      <c r="H102" s="3"/>
      <c r="I102" s="3"/>
      <c r="J102" s="3"/>
    </row>
    <row r="103" spans="1:10" x14ac:dyDescent="0.35">
      <c r="D103" s="3"/>
      <c r="E103" s="3"/>
      <c r="F103" s="3"/>
      <c r="G103" s="3"/>
      <c r="H103" s="3"/>
      <c r="I103" s="3"/>
      <c r="J103" s="3"/>
    </row>
    <row r="104" spans="1:10" x14ac:dyDescent="0.35">
      <c r="D104" s="3"/>
      <c r="E104" s="3"/>
      <c r="F104" s="3"/>
      <c r="G104" s="3"/>
      <c r="H104" s="3"/>
      <c r="I104" s="3"/>
      <c r="J104" s="3"/>
    </row>
    <row r="105" spans="1:10" x14ac:dyDescent="0.35">
      <c r="D105" s="3"/>
      <c r="E105" s="3"/>
      <c r="F105" s="3"/>
      <c r="G105" s="3"/>
      <c r="H105" s="3"/>
      <c r="I105" s="3"/>
      <c r="J105" s="3"/>
    </row>
    <row r="106" spans="1:10" x14ac:dyDescent="0.35">
      <c r="D106" s="3"/>
      <c r="E106" s="3"/>
      <c r="F106" s="3"/>
      <c r="G106" s="3"/>
      <c r="H106" s="3"/>
      <c r="I106" s="3"/>
      <c r="J106" s="3"/>
    </row>
    <row r="107" spans="1:10" x14ac:dyDescent="0.35">
      <c r="D107" s="3"/>
      <c r="E107" s="3"/>
      <c r="F107" s="3"/>
      <c r="G107" s="3"/>
      <c r="H107" s="3"/>
      <c r="I107" s="3"/>
      <c r="J107" s="3"/>
    </row>
    <row r="108" spans="1:10" x14ac:dyDescent="0.35">
      <c r="D108" s="3"/>
      <c r="E108" s="3"/>
      <c r="F108" s="3"/>
      <c r="G108" s="3"/>
      <c r="H108" s="3"/>
      <c r="I108" s="3"/>
      <c r="J108" s="3"/>
    </row>
    <row r="109" spans="1:10" x14ac:dyDescent="0.35">
      <c r="D109" s="3"/>
      <c r="E109" s="3"/>
      <c r="F109" s="3"/>
      <c r="G109" s="3"/>
      <c r="H109" s="3"/>
      <c r="I109" s="3"/>
      <c r="J109" s="3"/>
    </row>
    <row r="110" spans="1:10" x14ac:dyDescent="0.35">
      <c r="D110" s="3"/>
      <c r="E110" s="3"/>
      <c r="F110" s="3"/>
      <c r="G110" s="3"/>
      <c r="H110" s="3"/>
      <c r="I110" s="3"/>
      <c r="J110" s="3"/>
    </row>
    <row r="111" spans="1:10" x14ac:dyDescent="0.35">
      <c r="D111" s="3"/>
      <c r="E111" s="3"/>
      <c r="F111" s="3"/>
      <c r="G111" s="3"/>
      <c r="H111" s="3"/>
      <c r="I111" s="3"/>
      <c r="J111" s="3"/>
    </row>
    <row r="112" spans="1:10" x14ac:dyDescent="0.35">
      <c r="D112" s="3"/>
      <c r="E112" s="3"/>
      <c r="F112" s="3"/>
      <c r="G112" s="3"/>
      <c r="H112" s="3"/>
      <c r="I112" s="3"/>
      <c r="J112" s="3"/>
    </row>
    <row r="113" spans="4:10" s="22" customFormat="1" x14ac:dyDescent="0.35">
      <c r="D113" s="3"/>
      <c r="E113" s="3"/>
      <c r="F113" s="3"/>
      <c r="G113" s="3"/>
      <c r="H113" s="3"/>
      <c r="I113" s="3"/>
      <c r="J113" s="3"/>
    </row>
    <row r="114" spans="4:10" s="22" customFormat="1" x14ac:dyDescent="0.35">
      <c r="D114" s="3"/>
      <c r="E114" s="3"/>
      <c r="F114" s="3"/>
      <c r="G114" s="3"/>
      <c r="H114" s="3"/>
      <c r="I114" s="3"/>
      <c r="J114" s="3"/>
    </row>
    <row r="115" spans="4:10" s="22" customFormat="1" x14ac:dyDescent="0.35">
      <c r="D115" s="3"/>
      <c r="E115" s="3"/>
      <c r="F115" s="3"/>
      <c r="G115" s="3"/>
      <c r="H115" s="3"/>
      <c r="I115" s="3"/>
      <c r="J115" s="3"/>
    </row>
    <row r="116" spans="4:10" s="22" customFormat="1" x14ac:dyDescent="0.35">
      <c r="D116" s="3"/>
      <c r="E116" s="3"/>
      <c r="F116" s="3"/>
      <c r="G116" s="3"/>
      <c r="H116" s="3"/>
      <c r="I116" s="3"/>
      <c r="J116" s="3"/>
    </row>
    <row r="117" spans="4:10" s="22" customFormat="1" x14ac:dyDescent="0.35">
      <c r="D117" s="3"/>
      <c r="E117" s="3"/>
      <c r="F117" s="3"/>
      <c r="G117" s="3"/>
      <c r="H117" s="3"/>
      <c r="I117" s="3"/>
      <c r="J117" s="3"/>
    </row>
    <row r="118" spans="4:10" s="22" customFormat="1" x14ac:dyDescent="0.35">
      <c r="D118" s="3"/>
      <c r="E118" s="3"/>
      <c r="F118" s="3"/>
      <c r="G118" s="3"/>
      <c r="H118" s="3"/>
      <c r="I118" s="3"/>
      <c r="J118" s="3"/>
    </row>
    <row r="119" spans="4:10" s="22" customFormat="1" x14ac:dyDescent="0.35">
      <c r="D119" s="3"/>
      <c r="E119" s="3"/>
      <c r="F119" s="3"/>
      <c r="G119" s="3"/>
      <c r="H119" s="3"/>
      <c r="I119" s="3"/>
      <c r="J119" s="3"/>
    </row>
    <row r="120" spans="4:10" s="22" customFormat="1" x14ac:dyDescent="0.35">
      <c r="D120" s="3"/>
      <c r="E120" s="3"/>
      <c r="F120" s="3"/>
      <c r="G120" s="3"/>
      <c r="H120" s="3"/>
      <c r="I120" s="3"/>
      <c r="J120" s="3"/>
    </row>
    <row r="121" spans="4:10" s="22" customFormat="1" x14ac:dyDescent="0.35">
      <c r="D121" s="3"/>
      <c r="E121" s="3"/>
      <c r="F121" s="3"/>
      <c r="G121" s="3"/>
      <c r="H121" s="3"/>
      <c r="I121" s="3"/>
      <c r="J121" s="3"/>
    </row>
    <row r="122" spans="4:10" s="22" customFormat="1" x14ac:dyDescent="0.35">
      <c r="D122" s="3"/>
      <c r="E122" s="3"/>
      <c r="F122" s="3"/>
      <c r="G122" s="3"/>
      <c r="H122" s="3"/>
      <c r="I122" s="3"/>
      <c r="J122" s="3"/>
    </row>
    <row r="123" spans="4:10" s="22" customFormat="1" x14ac:dyDescent="0.35">
      <c r="D123" s="3"/>
      <c r="E123" s="3"/>
      <c r="F123" s="3"/>
      <c r="G123" s="3"/>
      <c r="H123" s="3"/>
      <c r="I123" s="3"/>
      <c r="J123" s="3"/>
    </row>
    <row r="124" spans="4:10" s="22" customFormat="1" x14ac:dyDescent="0.35">
      <c r="D124" s="3"/>
      <c r="E124" s="3"/>
      <c r="F124" s="3"/>
      <c r="G124" s="3"/>
      <c r="H124" s="3"/>
      <c r="I124" s="3"/>
      <c r="J124" s="3"/>
    </row>
    <row r="125" spans="4:10" s="22" customFormat="1" x14ac:dyDescent="0.35">
      <c r="D125" s="3"/>
      <c r="E125" s="3"/>
      <c r="F125" s="3"/>
      <c r="G125" s="3"/>
      <c r="H125" s="3"/>
      <c r="I125" s="3"/>
      <c r="J125" s="3"/>
    </row>
    <row r="126" spans="4:10" s="22" customFormat="1" x14ac:dyDescent="0.35">
      <c r="D126" s="3"/>
      <c r="E126" s="3"/>
      <c r="F126" s="3"/>
      <c r="G126" s="3"/>
      <c r="H126" s="3"/>
      <c r="I126" s="3"/>
      <c r="J126" s="3"/>
    </row>
    <row r="127" spans="4:10" s="22" customFormat="1" x14ac:dyDescent="0.35">
      <c r="D127" s="3"/>
      <c r="E127" s="3"/>
      <c r="F127" s="3"/>
      <c r="G127" s="3"/>
      <c r="H127" s="3"/>
      <c r="I127" s="3"/>
      <c r="J127" s="3"/>
    </row>
    <row r="128" spans="4:10" s="22" customFormat="1" x14ac:dyDescent="0.35">
      <c r="D128" s="3"/>
      <c r="E128" s="3"/>
      <c r="F128" s="3"/>
      <c r="G128" s="3"/>
      <c r="H128" s="3"/>
      <c r="I128" s="3"/>
      <c r="J128" s="3"/>
    </row>
    <row r="129" spans="4:10" s="22" customFormat="1" x14ac:dyDescent="0.35">
      <c r="D129" s="3"/>
      <c r="E129" s="3"/>
      <c r="F129" s="3"/>
      <c r="G129" s="3"/>
      <c r="H129" s="3"/>
      <c r="I129" s="3"/>
      <c r="J129" s="3"/>
    </row>
    <row r="130" spans="4:10" s="22" customFormat="1" x14ac:dyDescent="0.35">
      <c r="D130" s="3"/>
      <c r="E130" s="3"/>
      <c r="F130" s="3"/>
      <c r="G130" s="3"/>
      <c r="H130" s="3"/>
      <c r="I130" s="3"/>
      <c r="J130" s="3"/>
    </row>
    <row r="131" spans="4:10" s="22" customFormat="1" x14ac:dyDescent="0.35">
      <c r="D131" s="3"/>
      <c r="E131" s="3"/>
      <c r="F131" s="3"/>
      <c r="G131" s="3"/>
      <c r="H131" s="3"/>
      <c r="I131" s="3"/>
      <c r="J131" s="3"/>
    </row>
    <row r="132" spans="4:10" s="22" customFormat="1" x14ac:dyDescent="0.35">
      <c r="D132" s="3"/>
      <c r="E132" s="3"/>
      <c r="F132" s="3"/>
      <c r="G132" s="3"/>
      <c r="H132" s="3"/>
      <c r="I132" s="3"/>
      <c r="J132" s="3"/>
    </row>
    <row r="133" spans="4:10" s="22" customFormat="1" x14ac:dyDescent="0.35">
      <c r="D133" s="3"/>
      <c r="E133" s="3"/>
      <c r="F133" s="3"/>
      <c r="G133" s="3"/>
      <c r="H133" s="3"/>
      <c r="I133" s="3"/>
      <c r="J133" s="3"/>
    </row>
    <row r="134" spans="4:10" s="22" customFormat="1" x14ac:dyDescent="0.35">
      <c r="D134" s="3"/>
      <c r="E134" s="3"/>
      <c r="F134" s="3"/>
      <c r="G134" s="3"/>
      <c r="H134" s="3"/>
      <c r="I134" s="3"/>
      <c r="J134" s="3"/>
    </row>
    <row r="135" spans="4:10" s="22" customFormat="1" x14ac:dyDescent="0.35">
      <c r="D135" s="3"/>
      <c r="E135" s="3"/>
      <c r="F135" s="3"/>
      <c r="G135" s="3"/>
      <c r="H135" s="3"/>
      <c r="I135" s="3"/>
      <c r="J135" s="3"/>
    </row>
    <row r="136" spans="4:10" s="22" customFormat="1" x14ac:dyDescent="0.35">
      <c r="D136" s="3"/>
      <c r="E136" s="3"/>
      <c r="F136" s="3"/>
      <c r="G136" s="3"/>
      <c r="H136" s="3"/>
      <c r="I136" s="3"/>
      <c r="J136" s="3"/>
    </row>
    <row r="137" spans="4:10" s="22" customFormat="1" x14ac:dyDescent="0.35">
      <c r="D137" s="3"/>
      <c r="E137" s="3"/>
      <c r="F137" s="3"/>
      <c r="G137" s="3"/>
      <c r="H137" s="3"/>
      <c r="I137" s="3"/>
      <c r="J137" s="3"/>
    </row>
    <row r="138" spans="4:10" s="22" customFormat="1" x14ac:dyDescent="0.35">
      <c r="D138" s="3"/>
      <c r="E138" s="3"/>
      <c r="F138" s="3"/>
      <c r="G138" s="3"/>
      <c r="H138" s="3"/>
      <c r="I138" s="3"/>
      <c r="J138" s="3"/>
    </row>
    <row r="139" spans="4:10" s="22" customFormat="1" x14ac:dyDescent="0.35">
      <c r="D139" s="3"/>
      <c r="E139" s="3"/>
      <c r="F139" s="3"/>
      <c r="G139" s="3"/>
      <c r="H139" s="3"/>
      <c r="I139" s="3"/>
      <c r="J139" s="3"/>
    </row>
    <row r="140" spans="4:10" s="22" customFormat="1" x14ac:dyDescent="0.35">
      <c r="D140" s="3"/>
      <c r="E140" s="3"/>
      <c r="F140" s="3"/>
      <c r="G140" s="3"/>
      <c r="H140" s="3"/>
      <c r="I140" s="3"/>
      <c r="J140" s="3"/>
    </row>
    <row r="141" spans="4:10" s="22" customFormat="1" x14ac:dyDescent="0.35">
      <c r="D141" s="3"/>
      <c r="E141" s="3"/>
      <c r="F141" s="3"/>
      <c r="G141" s="3"/>
      <c r="H141" s="3"/>
      <c r="I141" s="3"/>
      <c r="J141" s="3"/>
    </row>
    <row r="142" spans="4:10" s="22" customFormat="1" x14ac:dyDescent="0.35">
      <c r="D142" s="3"/>
      <c r="E142" s="3"/>
      <c r="F142" s="3"/>
      <c r="G142" s="3"/>
      <c r="H142" s="3"/>
      <c r="I142" s="3"/>
      <c r="J142" s="3"/>
    </row>
    <row r="143" spans="4:10" s="22" customFormat="1" x14ac:dyDescent="0.35">
      <c r="D143" s="3"/>
      <c r="E143" s="3"/>
      <c r="F143" s="3"/>
      <c r="G143" s="3"/>
      <c r="H143" s="3"/>
      <c r="I143" s="3"/>
      <c r="J143" s="3"/>
    </row>
    <row r="144" spans="4:10" s="22" customFormat="1" x14ac:dyDescent="0.35">
      <c r="D144" s="3"/>
      <c r="E144" s="3"/>
      <c r="F144" s="3"/>
      <c r="G144" s="3"/>
      <c r="H144" s="3"/>
      <c r="I144" s="3"/>
      <c r="J144" s="3"/>
    </row>
    <row r="145" spans="4:10" s="22" customFormat="1" x14ac:dyDescent="0.35">
      <c r="D145" s="3"/>
      <c r="E145" s="3"/>
      <c r="F145" s="3"/>
      <c r="G145" s="3"/>
      <c r="H145" s="3"/>
      <c r="I145" s="3"/>
      <c r="J145" s="3"/>
    </row>
    <row r="146" spans="4:10" s="22" customFormat="1" x14ac:dyDescent="0.35">
      <c r="D146" s="3"/>
      <c r="E146" s="3"/>
      <c r="F146" s="3"/>
      <c r="G146" s="3"/>
      <c r="H146" s="3"/>
      <c r="I146" s="3"/>
      <c r="J146" s="3"/>
    </row>
    <row r="147" spans="4:10" s="22" customFormat="1" x14ac:dyDescent="0.35">
      <c r="D147" s="3"/>
      <c r="E147" s="3"/>
      <c r="F147" s="3"/>
      <c r="G147" s="3"/>
      <c r="H147" s="3"/>
      <c r="I147" s="3"/>
      <c r="J147" s="3"/>
    </row>
    <row r="148" spans="4:10" s="22" customFormat="1" x14ac:dyDescent="0.35">
      <c r="D148" s="3"/>
      <c r="E148" s="3"/>
      <c r="F148" s="3"/>
      <c r="G148" s="3"/>
      <c r="H148" s="3"/>
      <c r="I148" s="3"/>
      <c r="J148" s="3"/>
    </row>
    <row r="149" spans="4:10" s="22" customFormat="1" x14ac:dyDescent="0.35">
      <c r="D149" s="3"/>
      <c r="E149" s="3"/>
      <c r="F149" s="3"/>
      <c r="G149" s="3"/>
      <c r="H149" s="3"/>
      <c r="I149" s="3"/>
      <c r="J149" s="3"/>
    </row>
    <row r="150" spans="4:10" s="22" customFormat="1" x14ac:dyDescent="0.35">
      <c r="D150" s="3"/>
      <c r="E150" s="3"/>
      <c r="F150" s="3"/>
      <c r="G150" s="3"/>
      <c r="H150" s="3"/>
      <c r="I150" s="3"/>
      <c r="J150" s="3"/>
    </row>
    <row r="151" spans="4:10" s="22" customFormat="1" x14ac:dyDescent="0.35">
      <c r="D151" s="3"/>
      <c r="E151" s="3"/>
      <c r="F151" s="3"/>
      <c r="G151" s="3"/>
      <c r="H151" s="3"/>
      <c r="I151" s="3"/>
      <c r="J151" s="3"/>
    </row>
    <row r="152" spans="4:10" s="22" customFormat="1" x14ac:dyDescent="0.35">
      <c r="D152" s="3"/>
      <c r="E152" s="3"/>
      <c r="F152" s="3"/>
      <c r="G152" s="3"/>
      <c r="H152" s="3"/>
      <c r="I152" s="3"/>
      <c r="J152" s="3"/>
    </row>
    <row r="153" spans="4:10" s="22" customFormat="1" x14ac:dyDescent="0.35">
      <c r="D153" s="3"/>
      <c r="E153" s="3"/>
      <c r="F153" s="3"/>
      <c r="G153" s="3"/>
      <c r="H153" s="3"/>
      <c r="I153" s="3"/>
      <c r="J153" s="3"/>
    </row>
    <row r="154" spans="4:10" s="22" customFormat="1" x14ac:dyDescent="0.35">
      <c r="D154" s="3"/>
      <c r="E154" s="3"/>
      <c r="F154" s="3"/>
      <c r="G154" s="3"/>
      <c r="H154" s="3"/>
      <c r="I154" s="3"/>
      <c r="J154" s="3"/>
    </row>
    <row r="155" spans="4:10" s="22" customFormat="1" x14ac:dyDescent="0.35">
      <c r="D155" s="3"/>
      <c r="E155" s="3"/>
      <c r="F155" s="3"/>
      <c r="G155" s="3"/>
      <c r="H155" s="3"/>
      <c r="I155" s="3"/>
      <c r="J155" s="3"/>
    </row>
    <row r="156" spans="4:10" s="22" customFormat="1" x14ac:dyDescent="0.35">
      <c r="D156" s="3"/>
      <c r="E156" s="3"/>
      <c r="F156" s="3"/>
      <c r="G156" s="3"/>
      <c r="H156" s="3"/>
      <c r="I156" s="3"/>
      <c r="J156" s="3"/>
    </row>
    <row r="157" spans="4:10" s="22" customFormat="1" x14ac:dyDescent="0.35">
      <c r="D157" s="3"/>
      <c r="E157" s="3"/>
      <c r="F157" s="3"/>
      <c r="G157" s="3"/>
      <c r="H157" s="3"/>
      <c r="I157" s="3"/>
      <c r="J157" s="3"/>
    </row>
    <row r="158" spans="4:10" s="22" customFormat="1" x14ac:dyDescent="0.35">
      <c r="D158" s="3"/>
      <c r="E158" s="3"/>
      <c r="F158" s="3"/>
      <c r="G158" s="3"/>
      <c r="H158" s="3"/>
      <c r="I158" s="3"/>
      <c r="J158" s="3"/>
    </row>
    <row r="159" spans="4:10" s="22" customFormat="1" x14ac:dyDescent="0.35">
      <c r="D159" s="3"/>
      <c r="E159" s="3"/>
      <c r="F159" s="3"/>
      <c r="G159" s="3"/>
      <c r="H159" s="3"/>
      <c r="I159" s="3"/>
      <c r="J159" s="3"/>
    </row>
    <row r="160" spans="4:10" s="22" customFormat="1" x14ac:dyDescent="0.35">
      <c r="D160" s="3"/>
      <c r="E160" s="3"/>
      <c r="F160" s="3"/>
      <c r="G160" s="3"/>
      <c r="H160" s="3"/>
      <c r="I160" s="3"/>
      <c r="J160" s="3"/>
    </row>
    <row r="161" spans="4:10" s="22" customFormat="1" x14ac:dyDescent="0.35">
      <c r="D161" s="3"/>
      <c r="E161" s="3"/>
      <c r="F161" s="3"/>
      <c r="G161" s="3"/>
      <c r="H161" s="3"/>
      <c r="I161" s="3"/>
      <c r="J161" s="3"/>
    </row>
    <row r="162" spans="4:10" s="22" customFormat="1" x14ac:dyDescent="0.35">
      <c r="D162" s="3"/>
      <c r="E162" s="3"/>
      <c r="F162" s="3"/>
      <c r="G162" s="3"/>
      <c r="H162" s="3"/>
      <c r="I162" s="3"/>
      <c r="J162" s="3"/>
    </row>
    <row r="163" spans="4:10" s="22" customFormat="1" x14ac:dyDescent="0.35">
      <c r="D163" s="3"/>
      <c r="E163" s="3"/>
      <c r="F163" s="3"/>
      <c r="G163" s="3"/>
      <c r="H163" s="3"/>
      <c r="I163" s="3"/>
      <c r="J163" s="3"/>
    </row>
    <row r="164" spans="4:10" s="22" customFormat="1" x14ac:dyDescent="0.35">
      <c r="D164" s="3"/>
      <c r="E164" s="3"/>
      <c r="F164" s="3"/>
      <c r="G164" s="3"/>
      <c r="H164" s="3"/>
      <c r="I164" s="3"/>
      <c r="J164" s="3"/>
    </row>
    <row r="165" spans="4:10" s="22" customFormat="1" x14ac:dyDescent="0.35">
      <c r="D165" s="3"/>
      <c r="E165" s="3"/>
      <c r="F165" s="3"/>
      <c r="G165" s="3"/>
      <c r="H165" s="3"/>
      <c r="I165" s="3"/>
      <c r="J165" s="3"/>
    </row>
    <row r="166" spans="4:10" s="22" customFormat="1" x14ac:dyDescent="0.35">
      <c r="D166" s="3"/>
      <c r="E166" s="3"/>
      <c r="F166" s="3"/>
      <c r="G166" s="3"/>
      <c r="H166" s="3"/>
      <c r="I166" s="3"/>
      <c r="J166" s="3"/>
    </row>
    <row r="167" spans="4:10" s="22" customFormat="1" x14ac:dyDescent="0.35">
      <c r="D167" s="3"/>
      <c r="E167" s="3"/>
      <c r="F167" s="3"/>
      <c r="G167" s="3"/>
      <c r="H167" s="3"/>
      <c r="I167" s="3"/>
      <c r="J167" s="3"/>
    </row>
    <row r="168" spans="4:10" s="22" customFormat="1" x14ac:dyDescent="0.35">
      <c r="D168" s="3"/>
      <c r="E168" s="3"/>
      <c r="F168" s="3"/>
      <c r="G168" s="3"/>
      <c r="H168" s="3"/>
      <c r="I168" s="3"/>
      <c r="J168" s="3"/>
    </row>
    <row r="169" spans="4:10" s="22" customFormat="1" x14ac:dyDescent="0.35">
      <c r="D169" s="3"/>
      <c r="E169" s="3"/>
      <c r="F169" s="3"/>
      <c r="G169" s="3"/>
      <c r="H169" s="3"/>
      <c r="I169" s="3"/>
      <c r="J169" s="3"/>
    </row>
    <row r="170" spans="4:10" s="22" customFormat="1" x14ac:dyDescent="0.35">
      <c r="D170" s="3"/>
      <c r="E170" s="3"/>
      <c r="F170" s="3"/>
      <c r="G170" s="3"/>
      <c r="H170" s="3"/>
      <c r="I170" s="3"/>
      <c r="J170" s="3"/>
    </row>
    <row r="171" spans="4:10" s="22" customFormat="1" x14ac:dyDescent="0.35">
      <c r="D171" s="3"/>
      <c r="E171" s="3"/>
      <c r="F171" s="3"/>
      <c r="G171" s="3"/>
      <c r="H171" s="3"/>
      <c r="I171" s="3"/>
      <c r="J171" s="3"/>
    </row>
    <row r="172" spans="4:10" s="22" customFormat="1" x14ac:dyDescent="0.35">
      <c r="D172" s="3"/>
      <c r="E172" s="3"/>
      <c r="F172" s="3"/>
      <c r="G172" s="3"/>
      <c r="H172" s="3"/>
      <c r="I172" s="3"/>
      <c r="J172" s="3"/>
    </row>
    <row r="173" spans="4:10" s="22" customFormat="1" x14ac:dyDescent="0.35">
      <c r="D173" s="3"/>
      <c r="E173" s="3"/>
      <c r="F173" s="3"/>
      <c r="G173" s="3"/>
      <c r="H173" s="3"/>
      <c r="I173" s="3"/>
      <c r="J173" s="3"/>
    </row>
    <row r="174" spans="4:10" s="22" customFormat="1" x14ac:dyDescent="0.35">
      <c r="D174" s="3"/>
      <c r="E174" s="3"/>
      <c r="F174" s="3"/>
      <c r="G174" s="3"/>
      <c r="H174" s="3"/>
      <c r="I174" s="3"/>
      <c r="J174" s="3"/>
    </row>
    <row r="175" spans="4:10" s="22" customFormat="1" x14ac:dyDescent="0.35">
      <c r="D175" s="3"/>
      <c r="E175" s="3"/>
      <c r="F175" s="3"/>
      <c r="G175" s="3"/>
      <c r="H175" s="3"/>
      <c r="I175" s="3"/>
      <c r="J175" s="3"/>
    </row>
    <row r="176" spans="4:10" s="22" customFormat="1" x14ac:dyDescent="0.35">
      <c r="D176" s="3"/>
      <c r="E176" s="3"/>
      <c r="F176" s="3"/>
      <c r="G176" s="3"/>
      <c r="H176" s="3"/>
      <c r="I176" s="3"/>
      <c r="J176" s="3"/>
    </row>
    <row r="177" spans="4:10" s="22" customFormat="1" x14ac:dyDescent="0.35">
      <c r="D177" s="3"/>
      <c r="E177" s="3"/>
      <c r="F177" s="3"/>
      <c r="G177" s="3"/>
      <c r="H177" s="3"/>
      <c r="I177" s="3"/>
      <c r="J177" s="3"/>
    </row>
    <row r="178" spans="4:10" s="22" customFormat="1" x14ac:dyDescent="0.35">
      <c r="D178" s="3"/>
      <c r="E178" s="3"/>
      <c r="F178" s="3"/>
      <c r="G178" s="3"/>
      <c r="H178" s="3"/>
      <c r="I178" s="3"/>
      <c r="J178" s="3"/>
    </row>
    <row r="179" spans="4:10" s="22" customFormat="1" x14ac:dyDescent="0.35">
      <c r="D179" s="3"/>
      <c r="E179" s="3"/>
      <c r="F179" s="3"/>
      <c r="G179" s="3"/>
      <c r="H179" s="3"/>
      <c r="I179" s="3"/>
      <c r="J179" s="3"/>
    </row>
    <row r="180" spans="4:10" s="22" customFormat="1" x14ac:dyDescent="0.35">
      <c r="D180" s="3"/>
      <c r="E180" s="3"/>
      <c r="F180" s="3"/>
      <c r="G180" s="3"/>
      <c r="H180" s="3"/>
      <c r="I180" s="3"/>
      <c r="J180" s="3"/>
    </row>
    <row r="181" spans="4:10" s="22" customFormat="1" x14ac:dyDescent="0.35">
      <c r="D181" s="3"/>
      <c r="E181" s="3"/>
      <c r="F181" s="3"/>
      <c r="G181" s="3"/>
      <c r="H181" s="3"/>
      <c r="I181" s="3"/>
      <c r="J181" s="3"/>
    </row>
    <row r="182" spans="4:10" s="22" customFormat="1" x14ac:dyDescent="0.35">
      <c r="D182" s="3"/>
      <c r="E182" s="3"/>
      <c r="F182" s="3"/>
      <c r="G182" s="3"/>
      <c r="H182" s="3"/>
      <c r="I182" s="3"/>
      <c r="J182" s="3"/>
    </row>
    <row r="183" spans="4:10" s="22" customFormat="1" x14ac:dyDescent="0.35">
      <c r="D183" s="3"/>
      <c r="E183" s="3"/>
      <c r="F183" s="3"/>
      <c r="G183" s="3"/>
      <c r="H183" s="3"/>
      <c r="I183" s="3"/>
      <c r="J183" s="3"/>
    </row>
    <row r="184" spans="4:10" s="22" customFormat="1" x14ac:dyDescent="0.35">
      <c r="D184" s="3"/>
      <c r="E184" s="3"/>
      <c r="F184" s="3"/>
      <c r="G184" s="3"/>
      <c r="H184" s="3"/>
      <c r="I184" s="3"/>
      <c r="J184" s="3"/>
    </row>
    <row r="185" spans="4:10" s="22" customFormat="1" x14ac:dyDescent="0.35">
      <c r="D185" s="3"/>
      <c r="E185" s="3"/>
      <c r="F185" s="3"/>
      <c r="G185" s="3"/>
      <c r="H185" s="3"/>
      <c r="I185" s="3"/>
      <c r="J185" s="3"/>
    </row>
    <row r="186" spans="4:10" s="22" customFormat="1" x14ac:dyDescent="0.35">
      <c r="D186" s="3"/>
      <c r="E186" s="3"/>
      <c r="F186" s="3"/>
      <c r="G186" s="3"/>
      <c r="H186" s="3"/>
      <c r="I186" s="3"/>
      <c r="J186" s="3"/>
    </row>
    <row r="187" spans="4:10" s="22" customFormat="1" x14ac:dyDescent="0.35">
      <c r="D187" s="3"/>
      <c r="E187" s="3"/>
      <c r="F187" s="3"/>
      <c r="G187" s="3"/>
      <c r="H187" s="3"/>
      <c r="I187" s="3"/>
      <c r="J187" s="3"/>
    </row>
    <row r="188" spans="4:10" s="22" customFormat="1" x14ac:dyDescent="0.35">
      <c r="D188" s="3"/>
      <c r="E188" s="3"/>
      <c r="F188" s="3"/>
      <c r="G188" s="3"/>
      <c r="H188" s="3"/>
      <c r="I188" s="3"/>
      <c r="J188" s="3"/>
    </row>
    <row r="189" spans="4:10" s="22" customFormat="1" x14ac:dyDescent="0.35">
      <c r="D189" s="3"/>
      <c r="E189" s="3"/>
      <c r="F189" s="3"/>
      <c r="G189" s="3"/>
      <c r="H189" s="3"/>
      <c r="I189" s="3"/>
      <c r="J189" s="3"/>
    </row>
    <row r="190" spans="4:10" s="22" customFormat="1" x14ac:dyDescent="0.35">
      <c r="D190" s="3"/>
      <c r="E190" s="3"/>
      <c r="F190" s="3"/>
      <c r="G190" s="3"/>
      <c r="H190" s="3"/>
      <c r="I190" s="3"/>
      <c r="J190" s="3"/>
    </row>
    <row r="191" spans="4:10" s="22" customFormat="1" x14ac:dyDescent="0.35">
      <c r="D191" s="3"/>
      <c r="E191" s="3"/>
      <c r="F191" s="3"/>
      <c r="G191" s="3"/>
      <c r="H191" s="3"/>
      <c r="I191" s="3"/>
      <c r="J191" s="3"/>
    </row>
    <row r="192" spans="4:10" s="22" customFormat="1" x14ac:dyDescent="0.35">
      <c r="D192" s="3"/>
      <c r="E192" s="3"/>
      <c r="F192" s="3"/>
      <c r="G192" s="3"/>
      <c r="H192" s="3"/>
      <c r="I192" s="3"/>
      <c r="J192" s="3"/>
    </row>
    <row r="193" spans="4:10" s="22" customFormat="1" x14ac:dyDescent="0.35">
      <c r="D193" s="3"/>
      <c r="E193" s="3"/>
      <c r="F193" s="3"/>
      <c r="G193" s="3"/>
      <c r="H193" s="3"/>
      <c r="I193" s="3"/>
      <c r="J193" s="3"/>
    </row>
    <row r="194" spans="4:10" s="22" customFormat="1" x14ac:dyDescent="0.35">
      <c r="D194" s="3"/>
      <c r="E194" s="3"/>
      <c r="F194" s="3"/>
      <c r="G194" s="3"/>
      <c r="H194" s="3"/>
      <c r="I194" s="3"/>
      <c r="J194" s="3"/>
    </row>
    <row r="195" spans="4:10" s="22" customFormat="1" x14ac:dyDescent="0.35">
      <c r="D195" s="3"/>
      <c r="E195" s="3"/>
      <c r="F195" s="3"/>
      <c r="G195" s="3"/>
      <c r="H195" s="3"/>
      <c r="I195" s="3"/>
      <c r="J195" s="3"/>
    </row>
    <row r="196" spans="4:10" s="22" customFormat="1" x14ac:dyDescent="0.35">
      <c r="D196" s="3"/>
      <c r="E196" s="3"/>
      <c r="F196" s="3"/>
      <c r="G196" s="3"/>
      <c r="H196" s="3"/>
      <c r="I196" s="3"/>
      <c r="J196" s="3"/>
    </row>
    <row r="197" spans="4:10" s="22" customFormat="1" x14ac:dyDescent="0.35">
      <c r="D197" s="3"/>
      <c r="E197" s="3"/>
      <c r="F197" s="3"/>
      <c r="G197" s="3"/>
      <c r="H197" s="3"/>
      <c r="I197" s="3"/>
      <c r="J197" s="3"/>
    </row>
    <row r="198" spans="4:10" s="22" customFormat="1" x14ac:dyDescent="0.35">
      <c r="D198" s="3"/>
      <c r="E198" s="3"/>
      <c r="F198" s="3"/>
      <c r="G198" s="3"/>
      <c r="H198" s="3"/>
      <c r="I198" s="3"/>
      <c r="J198" s="3"/>
    </row>
    <row r="199" spans="4:10" s="22" customFormat="1" x14ac:dyDescent="0.35">
      <c r="D199" s="3"/>
      <c r="E199" s="3"/>
      <c r="F199" s="3"/>
      <c r="G199" s="3"/>
      <c r="H199" s="3"/>
      <c r="I199" s="3"/>
      <c r="J199" s="3"/>
    </row>
    <row r="200" spans="4:10" s="22" customFormat="1" x14ac:dyDescent="0.35">
      <c r="D200" s="3"/>
      <c r="E200" s="3"/>
      <c r="F200" s="3"/>
      <c r="G200" s="3"/>
      <c r="H200" s="3"/>
      <c r="I200" s="3"/>
      <c r="J200" s="3"/>
    </row>
    <row r="201" spans="4:10" s="22" customFormat="1" x14ac:dyDescent="0.35">
      <c r="D201" s="3"/>
      <c r="E201" s="3"/>
      <c r="F201" s="3"/>
      <c r="G201" s="3"/>
      <c r="H201" s="3"/>
      <c r="I201" s="3"/>
      <c r="J201" s="3"/>
    </row>
    <row r="202" spans="4:10" s="22" customFormat="1" x14ac:dyDescent="0.35">
      <c r="D202" s="3"/>
      <c r="E202" s="3"/>
      <c r="F202" s="3"/>
      <c r="G202" s="3"/>
      <c r="H202" s="3"/>
      <c r="I202" s="3"/>
      <c r="J202" s="3"/>
    </row>
    <row r="203" spans="4:10" s="22" customFormat="1" x14ac:dyDescent="0.35">
      <c r="D203" s="3"/>
      <c r="E203" s="3"/>
      <c r="F203" s="3"/>
      <c r="G203" s="3"/>
      <c r="H203" s="3"/>
      <c r="I203" s="3"/>
      <c r="J203" s="3"/>
    </row>
    <row r="204" spans="4:10" s="22" customFormat="1" x14ac:dyDescent="0.35">
      <c r="D204" s="3"/>
      <c r="E204" s="3"/>
      <c r="F204" s="3"/>
      <c r="G204" s="3"/>
      <c r="H204" s="3"/>
      <c r="I204" s="3"/>
      <c r="J204" s="3"/>
    </row>
    <row r="205" spans="4:10" s="22" customFormat="1" x14ac:dyDescent="0.35">
      <c r="D205" s="3"/>
      <c r="E205" s="3"/>
      <c r="F205" s="3"/>
      <c r="G205" s="3"/>
      <c r="H205" s="3"/>
      <c r="I205" s="3"/>
      <c r="J205" s="3"/>
    </row>
    <row r="206" spans="4:10" s="22" customFormat="1" x14ac:dyDescent="0.35">
      <c r="D206" s="3"/>
      <c r="E206" s="3"/>
      <c r="F206" s="3"/>
      <c r="G206" s="3"/>
      <c r="H206" s="3"/>
      <c r="I206" s="3"/>
      <c r="J206" s="3"/>
    </row>
    <row r="207" spans="4:10" s="22" customFormat="1" x14ac:dyDescent="0.35">
      <c r="D207" s="3"/>
      <c r="E207" s="3"/>
      <c r="F207" s="3"/>
      <c r="G207" s="3"/>
      <c r="H207" s="3"/>
      <c r="I207" s="3"/>
      <c r="J207" s="3"/>
    </row>
    <row r="208" spans="4:10" s="22" customFormat="1" x14ac:dyDescent="0.35">
      <c r="D208" s="3"/>
      <c r="E208" s="3"/>
      <c r="F208" s="3"/>
      <c r="G208" s="3"/>
      <c r="H208" s="3"/>
      <c r="I208" s="3"/>
      <c r="J208" s="3"/>
    </row>
    <row r="209" spans="4:10" s="22" customFormat="1" x14ac:dyDescent="0.35">
      <c r="D209" s="3"/>
      <c r="E209" s="3"/>
      <c r="F209" s="3"/>
      <c r="G209" s="3"/>
      <c r="H209" s="3"/>
      <c r="I209" s="3"/>
      <c r="J209" s="3"/>
    </row>
    <row r="210" spans="4:10" s="22" customFormat="1" x14ac:dyDescent="0.35">
      <c r="D210" s="3"/>
      <c r="E210" s="3"/>
      <c r="F210" s="3"/>
      <c r="G210" s="3"/>
      <c r="H210" s="3"/>
      <c r="I210" s="3"/>
      <c r="J210" s="3"/>
    </row>
    <row r="211" spans="4:10" s="22" customFormat="1" x14ac:dyDescent="0.35">
      <c r="D211" s="3"/>
      <c r="E211" s="3"/>
      <c r="F211" s="3"/>
      <c r="G211" s="3"/>
      <c r="H211" s="3"/>
      <c r="I211" s="3"/>
      <c r="J211" s="3"/>
    </row>
    <row r="212" spans="4:10" s="22" customFormat="1" x14ac:dyDescent="0.35">
      <c r="D212" s="3"/>
      <c r="E212" s="3"/>
      <c r="F212" s="3"/>
      <c r="G212" s="3"/>
      <c r="H212" s="3"/>
      <c r="I212" s="3"/>
      <c r="J212" s="3"/>
    </row>
    <row r="213" spans="4:10" s="22" customFormat="1" x14ac:dyDescent="0.35">
      <c r="D213" s="3"/>
      <c r="E213" s="3"/>
      <c r="F213" s="3"/>
      <c r="G213" s="3"/>
      <c r="H213" s="3"/>
      <c r="I213" s="3"/>
      <c r="J213" s="3"/>
    </row>
    <row r="214" spans="4:10" s="22" customFormat="1" x14ac:dyDescent="0.35">
      <c r="D214" s="3"/>
      <c r="E214" s="3"/>
      <c r="F214" s="3"/>
      <c r="G214" s="3"/>
      <c r="H214" s="3"/>
      <c r="I214" s="3"/>
      <c r="J214" s="3"/>
    </row>
    <row r="215" spans="4:10" s="22" customFormat="1" x14ac:dyDescent="0.35">
      <c r="D215" s="3"/>
      <c r="E215" s="3"/>
      <c r="F215" s="3"/>
      <c r="G215" s="3"/>
      <c r="H215" s="3"/>
      <c r="I215" s="3"/>
      <c r="J215" s="3"/>
    </row>
    <row r="216" spans="4:10" s="22" customFormat="1" x14ac:dyDescent="0.35">
      <c r="D216" s="3"/>
      <c r="E216" s="3"/>
      <c r="F216" s="3"/>
      <c r="G216" s="3"/>
      <c r="H216" s="3"/>
      <c r="I216" s="3"/>
      <c r="J216" s="3"/>
    </row>
    <row r="217" spans="4:10" s="22" customFormat="1" x14ac:dyDescent="0.35">
      <c r="D217" s="3"/>
      <c r="E217" s="3"/>
      <c r="F217" s="3"/>
      <c r="G217" s="3"/>
      <c r="H217" s="3"/>
      <c r="I217" s="3"/>
      <c r="J217" s="3"/>
    </row>
    <row r="218" spans="4:10" s="22" customFormat="1" x14ac:dyDescent="0.35">
      <c r="D218" s="3"/>
      <c r="E218" s="3"/>
      <c r="F218" s="3"/>
      <c r="G218" s="3"/>
      <c r="H218" s="3"/>
      <c r="I218" s="3"/>
      <c r="J218" s="3"/>
    </row>
    <row r="219" spans="4:10" s="22" customFormat="1" x14ac:dyDescent="0.35">
      <c r="D219" s="3"/>
      <c r="E219" s="3"/>
      <c r="F219" s="3"/>
      <c r="G219" s="3"/>
      <c r="H219" s="3"/>
      <c r="I219" s="3"/>
      <c r="J219" s="3"/>
    </row>
    <row r="220" spans="4:10" s="22" customFormat="1" x14ac:dyDescent="0.35">
      <c r="D220" s="3"/>
      <c r="E220" s="3"/>
      <c r="F220" s="3"/>
      <c r="G220" s="3"/>
      <c r="H220" s="3"/>
      <c r="I220" s="3"/>
      <c r="J220" s="3"/>
    </row>
    <row r="221" spans="4:10" s="22" customFormat="1" x14ac:dyDescent="0.35">
      <c r="D221" s="3"/>
      <c r="E221" s="3"/>
      <c r="F221" s="3"/>
      <c r="G221" s="3"/>
      <c r="H221" s="3"/>
      <c r="I221" s="3"/>
      <c r="J221" s="3"/>
    </row>
    <row r="222" spans="4:10" s="22" customFormat="1" x14ac:dyDescent="0.35">
      <c r="D222" s="3"/>
      <c r="E222" s="3"/>
      <c r="F222" s="3"/>
      <c r="G222" s="3"/>
      <c r="H222" s="3"/>
      <c r="I222" s="3"/>
      <c r="J222" s="3"/>
    </row>
    <row r="223" spans="4:10" s="22" customFormat="1" x14ac:dyDescent="0.35">
      <c r="D223" s="3"/>
      <c r="E223" s="3"/>
      <c r="F223" s="3"/>
      <c r="G223" s="3"/>
      <c r="H223" s="3"/>
      <c r="I223" s="3"/>
      <c r="J223" s="3"/>
    </row>
    <row r="224" spans="4:10" s="22" customFormat="1" x14ac:dyDescent="0.35">
      <c r="D224" s="3"/>
      <c r="E224" s="3"/>
      <c r="F224" s="3"/>
      <c r="G224" s="3"/>
      <c r="H224" s="3"/>
      <c r="I224" s="3"/>
      <c r="J224" s="3"/>
    </row>
    <row r="225" spans="4:10" s="22" customFormat="1" x14ac:dyDescent="0.35">
      <c r="D225" s="3"/>
      <c r="E225" s="3"/>
      <c r="F225" s="3"/>
      <c r="G225" s="3"/>
      <c r="H225" s="3"/>
      <c r="I225" s="3"/>
      <c r="J225" s="3"/>
    </row>
    <row r="226" spans="4:10" s="22" customFormat="1" x14ac:dyDescent="0.35">
      <c r="D226" s="3"/>
      <c r="E226" s="3"/>
      <c r="F226" s="3"/>
      <c r="G226" s="3"/>
      <c r="H226" s="3"/>
      <c r="I226" s="3"/>
      <c r="J226" s="3"/>
    </row>
    <row r="227" spans="4:10" s="22" customFormat="1" x14ac:dyDescent="0.35">
      <c r="D227" s="3"/>
      <c r="E227" s="3"/>
      <c r="F227" s="3"/>
      <c r="G227" s="3"/>
      <c r="H227" s="3"/>
      <c r="I227" s="3"/>
      <c r="J227" s="3"/>
    </row>
    <row r="228" spans="4:10" s="22" customFormat="1" x14ac:dyDescent="0.35">
      <c r="D228" s="3"/>
      <c r="E228" s="3"/>
      <c r="F228" s="3"/>
      <c r="G228" s="3"/>
      <c r="H228" s="3"/>
      <c r="I228" s="3"/>
      <c r="J228" s="3"/>
    </row>
    <row r="229" spans="4:10" s="22" customFormat="1" x14ac:dyDescent="0.35">
      <c r="D229" s="3"/>
      <c r="E229" s="3"/>
      <c r="F229" s="3"/>
      <c r="G229" s="3"/>
      <c r="H229" s="3"/>
      <c r="I229" s="3"/>
      <c r="J229" s="3"/>
    </row>
    <row r="230" spans="4:10" s="22" customFormat="1" x14ac:dyDescent="0.35">
      <c r="D230" s="3"/>
      <c r="E230" s="3"/>
      <c r="F230" s="3"/>
      <c r="G230" s="3"/>
      <c r="H230" s="3"/>
      <c r="I230" s="3"/>
      <c r="J230" s="3"/>
    </row>
    <row r="231" spans="4:10" s="22" customFormat="1" x14ac:dyDescent="0.35">
      <c r="D231" s="3"/>
      <c r="E231" s="3"/>
      <c r="F231" s="3"/>
      <c r="G231" s="3"/>
      <c r="H231" s="3"/>
      <c r="I231" s="3"/>
      <c r="J231" s="3"/>
    </row>
    <row r="232" spans="4:10" s="22" customFormat="1" x14ac:dyDescent="0.35">
      <c r="D232" s="3"/>
      <c r="E232" s="3"/>
      <c r="F232" s="3"/>
      <c r="G232" s="3"/>
      <c r="H232" s="3"/>
      <c r="I232" s="3"/>
      <c r="J232" s="3"/>
    </row>
    <row r="233" spans="4:10" s="22" customFormat="1" x14ac:dyDescent="0.35">
      <c r="D233" s="3"/>
      <c r="E233" s="3"/>
      <c r="F233" s="3"/>
      <c r="G233" s="3"/>
      <c r="H233" s="3"/>
      <c r="I233" s="3"/>
      <c r="J233" s="3"/>
    </row>
    <row r="234" spans="4:10" s="22" customFormat="1" x14ac:dyDescent="0.35">
      <c r="D234" s="3"/>
      <c r="E234" s="3"/>
      <c r="F234" s="3"/>
      <c r="G234" s="3"/>
      <c r="H234" s="3"/>
      <c r="I234" s="3"/>
      <c r="J234" s="3"/>
    </row>
    <row r="235" spans="4:10" s="22" customFormat="1" x14ac:dyDescent="0.35">
      <c r="D235" s="3"/>
      <c r="E235" s="3"/>
      <c r="F235" s="3"/>
      <c r="G235" s="3"/>
      <c r="H235" s="3"/>
      <c r="I235" s="3"/>
      <c r="J235" s="3"/>
    </row>
    <row r="236" spans="4:10" s="22" customFormat="1" x14ac:dyDescent="0.35">
      <c r="D236" s="3"/>
      <c r="E236" s="3"/>
      <c r="F236" s="3"/>
      <c r="G236" s="3"/>
      <c r="H236" s="3"/>
      <c r="I236" s="3"/>
      <c r="J236" s="3"/>
    </row>
    <row r="237" spans="4:10" s="22" customFormat="1" x14ac:dyDescent="0.35">
      <c r="D237" s="3"/>
      <c r="E237" s="3"/>
      <c r="F237" s="3"/>
      <c r="G237" s="3"/>
      <c r="H237" s="3"/>
      <c r="I237" s="3"/>
      <c r="J237" s="3"/>
    </row>
    <row r="238" spans="4:10" s="22" customFormat="1" x14ac:dyDescent="0.35">
      <c r="D238" s="3"/>
      <c r="E238" s="3"/>
      <c r="F238" s="3"/>
      <c r="G238" s="3"/>
      <c r="H238" s="3"/>
      <c r="I238" s="3"/>
      <c r="J238" s="3"/>
    </row>
    <row r="239" spans="4:10" s="22" customFormat="1" x14ac:dyDescent="0.35">
      <c r="D239" s="3"/>
      <c r="E239" s="3"/>
      <c r="F239" s="3"/>
      <c r="G239" s="3"/>
      <c r="H239" s="3"/>
      <c r="I239" s="3"/>
      <c r="J239" s="3"/>
    </row>
    <row r="240" spans="4:10" s="22" customFormat="1" x14ac:dyDescent="0.35">
      <c r="D240" s="3"/>
      <c r="E240" s="3"/>
      <c r="F240" s="3"/>
      <c r="G240" s="3"/>
      <c r="H240" s="3"/>
      <c r="I240" s="3"/>
      <c r="J240" s="3"/>
    </row>
    <row r="241" spans="4:10" s="22" customFormat="1" x14ac:dyDescent="0.35">
      <c r="D241" s="3"/>
      <c r="E241" s="3"/>
      <c r="F241" s="3"/>
      <c r="G241" s="3"/>
      <c r="H241" s="3"/>
      <c r="I241" s="3"/>
      <c r="J241" s="3"/>
    </row>
    <row r="242" spans="4:10" s="22" customFormat="1" x14ac:dyDescent="0.35">
      <c r="D242" s="3"/>
      <c r="E242" s="3"/>
      <c r="F242" s="3"/>
      <c r="G242" s="3"/>
      <c r="H242" s="3"/>
      <c r="I242" s="3"/>
      <c r="J242" s="3"/>
    </row>
    <row r="243" spans="4:10" s="22" customFormat="1" x14ac:dyDescent="0.35">
      <c r="D243" s="3"/>
      <c r="E243" s="3"/>
      <c r="F243" s="3"/>
      <c r="G243" s="3"/>
      <c r="H243" s="3"/>
      <c r="I243" s="3"/>
      <c r="J243" s="3"/>
    </row>
    <row r="244" spans="4:10" s="22" customFormat="1" x14ac:dyDescent="0.35">
      <c r="D244" s="3"/>
      <c r="E244" s="3"/>
      <c r="F244" s="3"/>
      <c r="G244" s="3"/>
      <c r="H244" s="3"/>
      <c r="I244" s="3"/>
      <c r="J244" s="3"/>
    </row>
    <row r="245" spans="4:10" s="22" customFormat="1" x14ac:dyDescent="0.35">
      <c r="D245" s="3"/>
      <c r="E245" s="3"/>
      <c r="F245" s="3"/>
      <c r="G245" s="3"/>
      <c r="H245" s="3"/>
      <c r="I245" s="3"/>
      <c r="J245" s="3"/>
    </row>
    <row r="246" spans="4:10" s="22" customFormat="1" x14ac:dyDescent="0.35">
      <c r="D246" s="3"/>
      <c r="E246" s="3"/>
      <c r="F246" s="3"/>
      <c r="G246" s="3"/>
      <c r="H246" s="3"/>
      <c r="I246" s="3"/>
      <c r="J246" s="3"/>
    </row>
    <row r="247" spans="4:10" s="22" customFormat="1" x14ac:dyDescent="0.35">
      <c r="D247" s="3"/>
      <c r="E247" s="3"/>
      <c r="F247" s="3"/>
      <c r="G247" s="3"/>
      <c r="H247" s="3"/>
      <c r="I247" s="3"/>
      <c r="J247" s="3"/>
    </row>
    <row r="248" spans="4:10" s="22" customFormat="1" x14ac:dyDescent="0.35">
      <c r="D248" s="3"/>
      <c r="E248" s="3"/>
      <c r="F248" s="3"/>
      <c r="G248" s="3"/>
      <c r="H248" s="3"/>
      <c r="I248" s="3"/>
      <c r="J248" s="3"/>
    </row>
    <row r="249" spans="4:10" s="22" customFormat="1" x14ac:dyDescent="0.35">
      <c r="D249" s="3"/>
      <c r="E249" s="3"/>
      <c r="F249" s="3"/>
      <c r="G249" s="3"/>
      <c r="H249" s="3"/>
      <c r="I249" s="3"/>
      <c r="J249" s="3"/>
    </row>
    <row r="250" spans="4:10" s="22" customFormat="1" x14ac:dyDescent="0.35">
      <c r="D250" s="3"/>
      <c r="E250" s="3"/>
      <c r="F250" s="3"/>
      <c r="G250" s="3"/>
      <c r="H250" s="3"/>
      <c r="I250" s="3"/>
      <c r="J250" s="3"/>
    </row>
    <row r="251" spans="4:10" s="22" customFormat="1" x14ac:dyDescent="0.35">
      <c r="D251" s="3"/>
      <c r="E251" s="3"/>
      <c r="F251" s="3"/>
      <c r="G251" s="3"/>
      <c r="H251" s="3"/>
      <c r="I251" s="3"/>
      <c r="J251" s="3"/>
    </row>
    <row r="252" spans="4:10" s="22" customFormat="1" x14ac:dyDescent="0.35">
      <c r="D252" s="3"/>
      <c r="E252" s="3"/>
      <c r="F252" s="3"/>
      <c r="G252" s="3"/>
      <c r="H252" s="3"/>
      <c r="I252" s="3"/>
      <c r="J252" s="3"/>
    </row>
    <row r="253" spans="4:10" s="22" customFormat="1" x14ac:dyDescent="0.35">
      <c r="D253" s="3"/>
      <c r="E253" s="3"/>
      <c r="F253" s="3"/>
      <c r="G253" s="3"/>
      <c r="H253" s="3"/>
      <c r="I253" s="3"/>
      <c r="J253" s="3"/>
    </row>
    <row r="254" spans="4:10" s="22" customFormat="1" x14ac:dyDescent="0.35">
      <c r="D254" s="3"/>
      <c r="E254" s="3"/>
      <c r="F254" s="3"/>
      <c r="G254" s="3"/>
      <c r="H254" s="3"/>
      <c r="I254" s="3"/>
      <c r="J254" s="3"/>
    </row>
    <row r="255" spans="4:10" s="22" customFormat="1" x14ac:dyDescent="0.35">
      <c r="D255" s="3"/>
      <c r="E255" s="3"/>
      <c r="F255" s="3"/>
      <c r="G255" s="3"/>
      <c r="H255" s="3"/>
      <c r="I255" s="3"/>
      <c r="J255" s="3"/>
    </row>
    <row r="256" spans="4:10" s="22" customFormat="1" x14ac:dyDescent="0.35">
      <c r="D256" s="3"/>
      <c r="E256" s="3"/>
      <c r="F256" s="3"/>
      <c r="G256" s="3"/>
      <c r="H256" s="3"/>
      <c r="I256" s="3"/>
      <c r="J256" s="3"/>
    </row>
    <row r="257" spans="4:10" s="22" customFormat="1" x14ac:dyDescent="0.35">
      <c r="D257" s="3"/>
      <c r="E257" s="3"/>
      <c r="F257" s="3"/>
      <c r="G257" s="3"/>
      <c r="H257" s="3"/>
      <c r="I257" s="3"/>
      <c r="J257" s="3"/>
    </row>
    <row r="258" spans="4:10" s="22" customFormat="1" x14ac:dyDescent="0.35">
      <c r="D258" s="3"/>
      <c r="E258" s="3"/>
      <c r="F258" s="3"/>
      <c r="G258" s="3"/>
      <c r="H258" s="3"/>
      <c r="I258" s="3"/>
      <c r="J258" s="3"/>
    </row>
    <row r="259" spans="4:10" s="22" customFormat="1" x14ac:dyDescent="0.35">
      <c r="D259" s="3"/>
      <c r="E259" s="3"/>
      <c r="F259" s="3"/>
      <c r="G259" s="3"/>
      <c r="H259" s="3"/>
      <c r="I259" s="3"/>
      <c r="J259" s="3"/>
    </row>
    <row r="260" spans="4:10" s="22" customFormat="1" x14ac:dyDescent="0.35">
      <c r="D260" s="3"/>
      <c r="E260" s="3"/>
      <c r="F260" s="3"/>
      <c r="G260" s="3"/>
      <c r="H260" s="3"/>
      <c r="I260" s="3"/>
      <c r="J260" s="3"/>
    </row>
    <row r="261" spans="4:10" s="22" customFormat="1" x14ac:dyDescent="0.35">
      <c r="D261" s="3"/>
      <c r="E261" s="3"/>
      <c r="F261" s="3"/>
      <c r="G261" s="3"/>
      <c r="H261" s="3"/>
      <c r="I261" s="3"/>
      <c r="J261" s="3"/>
    </row>
    <row r="262" spans="4:10" s="22" customFormat="1" x14ac:dyDescent="0.35">
      <c r="D262" s="3"/>
      <c r="E262" s="3"/>
      <c r="F262" s="3"/>
      <c r="G262" s="3"/>
      <c r="H262" s="3"/>
      <c r="I262" s="3"/>
      <c r="J262" s="3"/>
    </row>
    <row r="263" spans="4:10" s="22" customFormat="1" x14ac:dyDescent="0.35">
      <c r="D263" s="3"/>
      <c r="E263" s="3"/>
      <c r="F263" s="3"/>
      <c r="G263" s="3"/>
      <c r="H263" s="3"/>
      <c r="I263" s="3"/>
      <c r="J263" s="3"/>
    </row>
    <row r="264" spans="4:10" s="22" customFormat="1" x14ac:dyDescent="0.35">
      <c r="D264" s="3"/>
      <c r="E264" s="3"/>
      <c r="F264" s="3"/>
      <c r="G264" s="3"/>
      <c r="H264" s="3"/>
      <c r="I264" s="3"/>
      <c r="J264" s="3"/>
    </row>
    <row r="265" spans="4:10" s="22" customFormat="1" x14ac:dyDescent="0.35">
      <c r="D265" s="3"/>
      <c r="E265" s="3"/>
      <c r="F265" s="3"/>
      <c r="G265" s="3"/>
      <c r="H265" s="3"/>
      <c r="I265" s="3"/>
      <c r="J265" s="3"/>
    </row>
    <row r="266" spans="4:10" s="22" customFormat="1" x14ac:dyDescent="0.35">
      <c r="D266" s="3"/>
      <c r="E266" s="3"/>
      <c r="F266" s="3"/>
      <c r="G266" s="3"/>
      <c r="H266" s="3"/>
      <c r="I266" s="3"/>
      <c r="J266" s="3"/>
    </row>
    <row r="267" spans="4:10" s="22" customFormat="1" x14ac:dyDescent="0.35">
      <c r="D267" s="3"/>
      <c r="E267" s="3"/>
      <c r="F267" s="3"/>
      <c r="G267" s="3"/>
      <c r="H267" s="3"/>
      <c r="I267" s="3"/>
      <c r="J267" s="3"/>
    </row>
    <row r="268" spans="4:10" s="22" customFormat="1" x14ac:dyDescent="0.35">
      <c r="D268" s="3"/>
      <c r="E268" s="3"/>
      <c r="F268" s="3"/>
      <c r="G268" s="3"/>
      <c r="H268" s="3"/>
      <c r="I268" s="3"/>
      <c r="J268" s="3"/>
    </row>
    <row r="269" spans="4:10" s="22" customFormat="1" x14ac:dyDescent="0.35">
      <c r="D269" s="3"/>
      <c r="E269" s="3"/>
      <c r="F269" s="3"/>
      <c r="G269" s="3"/>
      <c r="H269" s="3"/>
      <c r="I269" s="3"/>
      <c r="J269" s="3"/>
    </row>
    <row r="270" spans="4:10" s="22" customFormat="1" x14ac:dyDescent="0.35">
      <c r="D270" s="3"/>
      <c r="E270" s="3"/>
      <c r="F270" s="3"/>
      <c r="G270" s="3"/>
      <c r="H270" s="3"/>
      <c r="I270" s="3"/>
      <c r="J270" s="3"/>
    </row>
    <row r="271" spans="4:10" s="22" customFormat="1" x14ac:dyDescent="0.35">
      <c r="D271" s="3"/>
      <c r="E271" s="3"/>
      <c r="F271" s="3"/>
      <c r="G271" s="3"/>
      <c r="H271" s="3"/>
      <c r="I271" s="3"/>
      <c r="J271" s="3"/>
    </row>
    <row r="272" spans="4:10" s="22" customFormat="1" x14ac:dyDescent="0.35">
      <c r="D272" s="3"/>
      <c r="E272" s="3"/>
      <c r="F272" s="3"/>
      <c r="G272" s="3"/>
      <c r="H272" s="3"/>
      <c r="I272" s="3"/>
      <c r="J272" s="3"/>
    </row>
    <row r="273" spans="4:10" s="22" customFormat="1" x14ac:dyDescent="0.35">
      <c r="D273" s="3"/>
      <c r="E273" s="3"/>
      <c r="F273" s="3"/>
      <c r="G273" s="3"/>
      <c r="H273" s="3"/>
      <c r="I273" s="3"/>
      <c r="J273" s="3"/>
    </row>
    <row r="274" spans="4:10" s="22" customFormat="1" x14ac:dyDescent="0.35">
      <c r="D274" s="3"/>
      <c r="E274" s="3"/>
      <c r="F274" s="3"/>
      <c r="G274" s="3"/>
      <c r="H274" s="3"/>
      <c r="I274" s="3"/>
      <c r="J274" s="3"/>
    </row>
    <row r="275" spans="4:10" s="22" customFormat="1" x14ac:dyDescent="0.35">
      <c r="D275" s="3"/>
      <c r="E275" s="3"/>
      <c r="F275" s="3"/>
      <c r="G275" s="3"/>
      <c r="H275" s="3"/>
      <c r="I275" s="3"/>
      <c r="J275" s="3"/>
    </row>
    <row r="276" spans="4:10" s="22" customFormat="1" x14ac:dyDescent="0.35">
      <c r="D276" s="3"/>
      <c r="E276" s="3"/>
      <c r="F276" s="3"/>
      <c r="G276" s="3"/>
      <c r="H276" s="3"/>
      <c r="I276" s="3"/>
      <c r="J276" s="3"/>
    </row>
    <row r="277" spans="4:10" s="22" customFormat="1" x14ac:dyDescent="0.35">
      <c r="D277" s="3"/>
      <c r="E277" s="3"/>
      <c r="F277" s="3"/>
      <c r="G277" s="3"/>
      <c r="H277" s="3"/>
      <c r="I277" s="3"/>
      <c r="J277" s="3"/>
    </row>
    <row r="278" spans="4:10" s="22" customFormat="1" x14ac:dyDescent="0.35">
      <c r="D278" s="3"/>
      <c r="E278" s="3"/>
      <c r="F278" s="3"/>
      <c r="G278" s="3"/>
      <c r="H278" s="3"/>
      <c r="I278" s="3"/>
      <c r="J278" s="3"/>
    </row>
    <row r="279" spans="4:10" s="22" customFormat="1" x14ac:dyDescent="0.35">
      <c r="D279" s="3"/>
      <c r="E279" s="3"/>
      <c r="F279" s="3"/>
      <c r="G279" s="3"/>
      <c r="H279" s="3"/>
      <c r="I279" s="3"/>
      <c r="J279" s="3"/>
    </row>
    <row r="280" spans="4:10" s="22" customFormat="1" x14ac:dyDescent="0.35">
      <c r="D280" s="3"/>
      <c r="E280" s="3"/>
      <c r="F280" s="3"/>
      <c r="G280" s="3"/>
      <c r="H280" s="3"/>
      <c r="I280" s="3"/>
      <c r="J280" s="3"/>
    </row>
    <row r="281" spans="4:10" s="22" customFormat="1" x14ac:dyDescent="0.35">
      <c r="D281" s="3"/>
      <c r="E281" s="3"/>
      <c r="F281" s="3"/>
      <c r="G281" s="3"/>
      <c r="H281" s="3"/>
      <c r="I281" s="3"/>
      <c r="J281" s="3"/>
    </row>
    <row r="282" spans="4:10" s="22" customFormat="1" x14ac:dyDescent="0.35">
      <c r="D282" s="3"/>
      <c r="E282" s="3"/>
      <c r="F282" s="3"/>
      <c r="G282" s="3"/>
      <c r="H282" s="3"/>
      <c r="I282" s="3"/>
      <c r="J282" s="3"/>
    </row>
    <row r="283" spans="4:10" s="22" customFormat="1" x14ac:dyDescent="0.35">
      <c r="D283" s="3"/>
      <c r="E283" s="3"/>
      <c r="F283" s="3"/>
      <c r="G283" s="3"/>
      <c r="H283" s="3"/>
      <c r="I283" s="3"/>
      <c r="J283" s="3"/>
    </row>
    <row r="284" spans="4:10" s="22" customFormat="1" x14ac:dyDescent="0.35">
      <c r="D284" s="3"/>
      <c r="E284" s="3"/>
      <c r="F284" s="3"/>
      <c r="G284" s="3"/>
      <c r="H284" s="3"/>
      <c r="I284" s="3"/>
      <c r="J284" s="3"/>
    </row>
    <row r="285" spans="4:10" s="22" customFormat="1" x14ac:dyDescent="0.35">
      <c r="D285" s="3"/>
      <c r="E285" s="3"/>
      <c r="F285" s="3"/>
      <c r="G285" s="3"/>
      <c r="H285" s="3"/>
      <c r="I285" s="3"/>
      <c r="J285" s="3"/>
    </row>
    <row r="286" spans="4:10" s="22" customFormat="1" x14ac:dyDescent="0.35">
      <c r="D286" s="3"/>
      <c r="E286" s="3"/>
      <c r="F286" s="3"/>
      <c r="G286" s="3"/>
      <c r="H286" s="3"/>
      <c r="I286" s="3"/>
      <c r="J286" s="3"/>
    </row>
    <row r="287" spans="4:10" s="22" customFormat="1" x14ac:dyDescent="0.35">
      <c r="D287" s="3"/>
      <c r="E287" s="3"/>
      <c r="F287" s="3"/>
      <c r="G287" s="3"/>
      <c r="H287" s="3"/>
      <c r="I287" s="3"/>
      <c r="J287" s="3"/>
    </row>
    <row r="288" spans="4:10" s="22" customFormat="1" x14ac:dyDescent="0.35">
      <c r="D288" s="3"/>
      <c r="E288" s="3"/>
      <c r="F288" s="3"/>
      <c r="G288" s="3"/>
      <c r="H288" s="3"/>
      <c r="I288" s="3"/>
      <c r="J288" s="3"/>
    </row>
    <row r="289" spans="4:10" s="22" customFormat="1" x14ac:dyDescent="0.35">
      <c r="D289" s="3"/>
      <c r="E289" s="3"/>
      <c r="F289" s="3"/>
      <c r="G289" s="3"/>
      <c r="H289" s="3"/>
      <c r="I289" s="3"/>
      <c r="J289" s="3"/>
    </row>
    <row r="290" spans="4:10" s="22" customFormat="1" x14ac:dyDescent="0.35">
      <c r="D290" s="3"/>
      <c r="E290" s="3"/>
      <c r="F290" s="3"/>
      <c r="G290" s="3"/>
      <c r="H290" s="3"/>
      <c r="I290" s="3"/>
      <c r="J290" s="3"/>
    </row>
    <row r="291" spans="4:10" s="22" customFormat="1" x14ac:dyDescent="0.35">
      <c r="D291" s="3"/>
      <c r="E291" s="3"/>
      <c r="F291" s="3"/>
      <c r="G291" s="3"/>
      <c r="H291" s="3"/>
      <c r="I291" s="3"/>
      <c r="J291" s="3"/>
    </row>
    <row r="292" spans="4:10" s="22" customFormat="1" x14ac:dyDescent="0.35">
      <c r="D292" s="3"/>
      <c r="E292" s="3"/>
      <c r="F292" s="3"/>
      <c r="G292" s="3"/>
      <c r="H292" s="3"/>
      <c r="I292" s="3"/>
      <c r="J292" s="3"/>
    </row>
    <row r="293" spans="4:10" s="22" customFormat="1" x14ac:dyDescent="0.35">
      <c r="D293" s="3"/>
      <c r="E293" s="3"/>
      <c r="F293" s="3"/>
      <c r="G293" s="3"/>
      <c r="H293" s="3"/>
      <c r="I293" s="3"/>
      <c r="J293" s="3"/>
    </row>
    <row r="294" spans="4:10" s="22" customFormat="1" x14ac:dyDescent="0.35">
      <c r="D294" s="3"/>
      <c r="E294" s="3"/>
      <c r="F294" s="3"/>
      <c r="G294" s="3"/>
      <c r="H294" s="3"/>
      <c r="I294" s="3"/>
      <c r="J294" s="3"/>
    </row>
    <row r="295" spans="4:10" s="22" customFormat="1" x14ac:dyDescent="0.35">
      <c r="D295" s="3"/>
      <c r="E295" s="3"/>
      <c r="F295" s="3"/>
      <c r="G295" s="3"/>
      <c r="H295" s="3"/>
      <c r="I295" s="3"/>
      <c r="J295" s="3"/>
    </row>
    <row r="296" spans="4:10" s="22" customFormat="1" x14ac:dyDescent="0.35">
      <c r="D296" s="3"/>
      <c r="E296" s="3"/>
      <c r="F296" s="3"/>
      <c r="G296" s="3"/>
      <c r="H296" s="3"/>
      <c r="I296" s="3"/>
      <c r="J296" s="3"/>
    </row>
    <row r="297" spans="4:10" s="22" customFormat="1" x14ac:dyDescent="0.35">
      <c r="D297" s="3"/>
      <c r="E297" s="3"/>
      <c r="F297" s="3"/>
      <c r="G297" s="3"/>
      <c r="H297" s="3"/>
      <c r="I297" s="3"/>
      <c r="J297" s="3"/>
    </row>
    <row r="298" spans="4:10" s="22" customFormat="1" x14ac:dyDescent="0.35">
      <c r="D298" s="3"/>
      <c r="E298" s="3"/>
      <c r="F298" s="3"/>
      <c r="G298" s="3"/>
      <c r="H298" s="3"/>
      <c r="I298" s="3"/>
      <c r="J298" s="3"/>
    </row>
    <row r="299" spans="4:10" s="22" customFormat="1" x14ac:dyDescent="0.35">
      <c r="D299" s="3"/>
      <c r="E299" s="3"/>
      <c r="F299" s="3"/>
      <c r="G299" s="3"/>
      <c r="H299" s="3"/>
      <c r="I299" s="3"/>
      <c r="J299" s="3"/>
    </row>
    <row r="300" spans="4:10" s="22" customFormat="1" x14ac:dyDescent="0.35">
      <c r="D300" s="3"/>
      <c r="E300" s="3"/>
      <c r="F300" s="3"/>
      <c r="G300" s="3"/>
      <c r="H300" s="3"/>
      <c r="I300" s="3"/>
      <c r="J300" s="3"/>
    </row>
    <row r="301" spans="4:10" s="22" customFormat="1" x14ac:dyDescent="0.35">
      <c r="D301" s="3"/>
      <c r="E301" s="3"/>
      <c r="F301" s="3"/>
      <c r="G301" s="3"/>
      <c r="H301" s="3"/>
      <c r="I301" s="3"/>
      <c r="J301" s="3"/>
    </row>
    <row r="302" spans="4:10" s="22" customFormat="1" x14ac:dyDescent="0.35">
      <c r="D302" s="3"/>
      <c r="E302" s="3"/>
      <c r="F302" s="3"/>
      <c r="G302" s="3"/>
      <c r="H302" s="3"/>
      <c r="I302" s="3"/>
      <c r="J302" s="3"/>
    </row>
    <row r="303" spans="4:10" s="22" customFormat="1" x14ac:dyDescent="0.35">
      <c r="D303" s="3"/>
      <c r="E303" s="3"/>
      <c r="F303" s="3"/>
      <c r="G303" s="3"/>
      <c r="H303" s="3"/>
      <c r="I303" s="3"/>
      <c r="J303" s="3"/>
    </row>
    <row r="304" spans="4:10" s="22" customFormat="1" x14ac:dyDescent="0.35">
      <c r="D304" s="3"/>
      <c r="E304" s="3"/>
      <c r="F304" s="3"/>
      <c r="G304" s="3"/>
      <c r="H304" s="3"/>
      <c r="I304" s="3"/>
      <c r="J304" s="3"/>
    </row>
    <row r="305" spans="4:10" s="22" customFormat="1" x14ac:dyDescent="0.35">
      <c r="D305" s="3"/>
      <c r="E305" s="3"/>
      <c r="F305" s="3"/>
      <c r="G305" s="3"/>
      <c r="H305" s="3"/>
      <c r="I305" s="3"/>
      <c r="J305" s="3"/>
    </row>
    <row r="306" spans="4:10" s="22" customFormat="1" x14ac:dyDescent="0.35">
      <c r="D306" s="3"/>
      <c r="E306" s="3"/>
      <c r="F306" s="3"/>
      <c r="G306" s="3"/>
      <c r="H306" s="3"/>
      <c r="I306" s="3"/>
      <c r="J306" s="3"/>
    </row>
    <row r="307" spans="4:10" s="22" customFormat="1" x14ac:dyDescent="0.35">
      <c r="D307" s="3"/>
      <c r="E307" s="3"/>
      <c r="F307" s="3"/>
      <c r="G307" s="3"/>
      <c r="H307" s="3"/>
      <c r="I307" s="3"/>
      <c r="J307" s="3"/>
    </row>
    <row r="308" spans="4:10" s="22" customFormat="1" x14ac:dyDescent="0.35">
      <c r="D308" s="3"/>
      <c r="E308" s="3"/>
      <c r="F308" s="3"/>
      <c r="G308" s="3"/>
      <c r="H308" s="3"/>
      <c r="I308" s="3"/>
      <c r="J308" s="3"/>
    </row>
    <row r="309" spans="4:10" s="22" customFormat="1" x14ac:dyDescent="0.35">
      <c r="D309" s="3"/>
      <c r="E309" s="3"/>
      <c r="F309" s="3"/>
      <c r="G309" s="3"/>
      <c r="H309" s="3"/>
      <c r="I309" s="3"/>
      <c r="J309" s="3"/>
    </row>
    <row r="310" spans="4:10" s="22" customFormat="1" x14ac:dyDescent="0.35">
      <c r="D310" s="3"/>
      <c r="E310" s="3"/>
      <c r="F310" s="3"/>
      <c r="G310" s="3"/>
      <c r="H310" s="3"/>
      <c r="I310" s="3"/>
      <c r="J310" s="3"/>
    </row>
    <row r="311" spans="4:10" s="22" customFormat="1" x14ac:dyDescent="0.35">
      <c r="D311" s="3"/>
      <c r="E311" s="3"/>
      <c r="F311" s="3"/>
      <c r="G311" s="3"/>
      <c r="H311" s="3"/>
      <c r="I311" s="3"/>
      <c r="J311" s="3"/>
    </row>
    <row r="312" spans="4:10" s="22" customFormat="1" x14ac:dyDescent="0.35">
      <c r="D312" s="3"/>
      <c r="E312" s="3"/>
      <c r="F312" s="3"/>
      <c r="G312" s="3"/>
      <c r="H312" s="3"/>
      <c r="I312" s="3"/>
      <c r="J312" s="3"/>
    </row>
    <row r="313" spans="4:10" s="22" customFormat="1" x14ac:dyDescent="0.35">
      <c r="D313" s="3"/>
      <c r="E313" s="3"/>
      <c r="F313" s="3"/>
      <c r="G313" s="3"/>
      <c r="H313" s="3"/>
      <c r="I313" s="3"/>
      <c r="J313" s="3"/>
    </row>
    <row r="314" spans="4:10" s="22" customFormat="1" x14ac:dyDescent="0.35">
      <c r="D314" s="3"/>
      <c r="E314" s="3"/>
      <c r="F314" s="3"/>
      <c r="G314" s="3"/>
      <c r="H314" s="3"/>
      <c r="I314" s="3"/>
      <c r="J314" s="3"/>
    </row>
    <row r="315" spans="4:10" s="22" customFormat="1" x14ac:dyDescent="0.35">
      <c r="D315" s="3"/>
      <c r="E315" s="3"/>
      <c r="F315" s="3"/>
      <c r="G315" s="3"/>
      <c r="H315" s="3"/>
      <c r="I315" s="3"/>
      <c r="J315" s="3"/>
    </row>
    <row r="316" spans="4:10" s="22" customFormat="1" x14ac:dyDescent="0.35">
      <c r="D316" s="3"/>
      <c r="E316" s="3"/>
      <c r="F316" s="3"/>
      <c r="G316" s="3"/>
      <c r="H316" s="3"/>
      <c r="I316" s="3"/>
      <c r="J316" s="3"/>
    </row>
    <row r="317" spans="4:10" s="22" customFormat="1" x14ac:dyDescent="0.35">
      <c r="D317" s="3"/>
      <c r="E317" s="3"/>
      <c r="F317" s="3"/>
      <c r="G317" s="3"/>
      <c r="H317" s="3"/>
      <c r="I317" s="3"/>
      <c r="J317" s="3"/>
    </row>
    <row r="318" spans="4:10" s="22" customFormat="1" x14ac:dyDescent="0.35">
      <c r="D318" s="3"/>
      <c r="E318" s="3"/>
      <c r="F318" s="3"/>
      <c r="G318" s="3"/>
      <c r="H318" s="3"/>
      <c r="I318" s="3"/>
      <c r="J318" s="3"/>
    </row>
    <row r="319" spans="4:10" s="22" customFormat="1" x14ac:dyDescent="0.35">
      <c r="D319" s="3"/>
      <c r="E319" s="3"/>
      <c r="F319" s="3"/>
      <c r="G319" s="3"/>
      <c r="H319" s="3"/>
      <c r="I319" s="3"/>
      <c r="J319" s="3"/>
    </row>
    <row r="320" spans="4:10" s="22" customFormat="1" x14ac:dyDescent="0.35">
      <c r="D320" s="3"/>
      <c r="E320" s="3"/>
      <c r="F320" s="3"/>
      <c r="G320" s="3"/>
      <c r="H320" s="3"/>
      <c r="I320" s="3"/>
      <c r="J320" s="3"/>
    </row>
    <row r="321" spans="4:10" s="22" customFormat="1" x14ac:dyDescent="0.35">
      <c r="D321" s="3"/>
      <c r="E321" s="3"/>
      <c r="F321" s="3"/>
      <c r="G321" s="3"/>
      <c r="H321" s="3"/>
      <c r="I321" s="3"/>
      <c r="J321" s="3"/>
    </row>
    <row r="322" spans="4:10" s="22" customFormat="1" x14ac:dyDescent="0.35">
      <c r="D322" s="3"/>
      <c r="E322" s="3"/>
      <c r="F322" s="3"/>
      <c r="G322" s="3"/>
      <c r="H322" s="3"/>
      <c r="I322" s="3"/>
      <c r="J322" s="3"/>
    </row>
    <row r="323" spans="4:10" s="22" customFormat="1" x14ac:dyDescent="0.35">
      <c r="D323" s="3"/>
      <c r="E323" s="3"/>
      <c r="F323" s="3"/>
      <c r="G323" s="3"/>
      <c r="H323" s="3"/>
      <c r="I323" s="3"/>
      <c r="J323" s="3"/>
    </row>
    <row r="324" spans="4:10" s="22" customFormat="1" x14ac:dyDescent="0.35">
      <c r="D324" s="3"/>
      <c r="E324" s="3"/>
      <c r="F324" s="3"/>
      <c r="G324" s="3"/>
      <c r="H324" s="3"/>
      <c r="I324" s="3"/>
      <c r="J324" s="3"/>
    </row>
    <row r="325" spans="4:10" s="22" customFormat="1" x14ac:dyDescent="0.35">
      <c r="D325" s="3"/>
      <c r="E325" s="3"/>
      <c r="F325" s="3"/>
      <c r="G325" s="3"/>
      <c r="H325" s="3"/>
      <c r="I325" s="3"/>
      <c r="J325" s="3"/>
    </row>
    <row r="326" spans="4:10" s="22" customFormat="1" x14ac:dyDescent="0.35">
      <c r="D326" s="3"/>
      <c r="E326" s="3"/>
      <c r="F326" s="3"/>
      <c r="G326" s="3"/>
      <c r="H326" s="3"/>
      <c r="I326" s="3"/>
      <c r="J326" s="3"/>
    </row>
    <row r="327" spans="4:10" s="22" customFormat="1" x14ac:dyDescent="0.35">
      <c r="D327" s="3"/>
      <c r="E327" s="3"/>
      <c r="F327" s="3"/>
      <c r="G327" s="3"/>
      <c r="H327" s="3"/>
      <c r="I327" s="3"/>
      <c r="J327" s="3"/>
    </row>
    <row r="328" spans="4:10" s="22" customFormat="1" x14ac:dyDescent="0.35">
      <c r="D328" s="3"/>
      <c r="E328" s="3"/>
      <c r="F328" s="3"/>
      <c r="G328" s="3"/>
      <c r="H328" s="3"/>
      <c r="I328" s="3"/>
      <c r="J328" s="3"/>
    </row>
    <row r="329" spans="4:10" s="22" customFormat="1" x14ac:dyDescent="0.35">
      <c r="D329" s="3"/>
      <c r="E329" s="3"/>
      <c r="F329" s="3"/>
      <c r="G329" s="3"/>
      <c r="H329" s="3"/>
      <c r="I329" s="3"/>
      <c r="J329" s="3"/>
    </row>
    <row r="330" spans="4:10" s="22" customFormat="1" x14ac:dyDescent="0.35">
      <c r="D330" s="3"/>
      <c r="E330" s="3"/>
      <c r="F330" s="3"/>
      <c r="G330" s="3"/>
      <c r="H330" s="3"/>
      <c r="I330" s="3"/>
      <c r="J330" s="3"/>
    </row>
    <row r="331" spans="4:10" s="22" customFormat="1" x14ac:dyDescent="0.35">
      <c r="D331" s="3"/>
      <c r="E331" s="3"/>
      <c r="F331" s="3"/>
      <c r="G331" s="3"/>
      <c r="H331" s="3"/>
      <c r="I331" s="3"/>
      <c r="J331" s="3"/>
    </row>
    <row r="332" spans="4:10" s="22" customFormat="1" x14ac:dyDescent="0.35">
      <c r="D332" s="3"/>
      <c r="E332" s="3"/>
      <c r="F332" s="3"/>
      <c r="G332" s="3"/>
      <c r="H332" s="3"/>
      <c r="I332" s="3"/>
      <c r="J332" s="3"/>
    </row>
    <row r="333" spans="4:10" s="22" customFormat="1" x14ac:dyDescent="0.35">
      <c r="D333" s="3"/>
      <c r="E333" s="3"/>
      <c r="F333" s="3"/>
      <c r="G333" s="3"/>
      <c r="H333" s="3"/>
      <c r="I333" s="3"/>
      <c r="J333" s="3"/>
    </row>
    <row r="334" spans="4:10" s="22" customFormat="1" x14ac:dyDescent="0.35">
      <c r="D334" s="3"/>
      <c r="E334" s="3"/>
      <c r="F334" s="3"/>
      <c r="G334" s="3"/>
      <c r="H334" s="3"/>
      <c r="I334" s="3"/>
      <c r="J334" s="3"/>
    </row>
    <row r="335" spans="4:10" s="22" customFormat="1" x14ac:dyDescent="0.35">
      <c r="D335" s="3"/>
      <c r="E335" s="3"/>
      <c r="F335" s="3"/>
      <c r="G335" s="3"/>
      <c r="H335" s="3"/>
      <c r="I335" s="3"/>
      <c r="J335" s="3"/>
    </row>
    <row r="336" spans="4:10" s="22" customFormat="1" x14ac:dyDescent="0.35">
      <c r="D336" s="3"/>
      <c r="E336" s="3"/>
      <c r="F336" s="3"/>
      <c r="G336" s="3"/>
      <c r="H336" s="3"/>
      <c r="I336" s="3"/>
      <c r="J336" s="3"/>
    </row>
    <row r="337" spans="4:10" s="22" customFormat="1" x14ac:dyDescent="0.35">
      <c r="D337" s="3"/>
      <c r="E337" s="3"/>
      <c r="F337" s="3"/>
      <c r="G337" s="3"/>
      <c r="H337" s="3"/>
      <c r="I337" s="3"/>
      <c r="J337" s="3"/>
    </row>
    <row r="338" spans="4:10" s="22" customFormat="1" x14ac:dyDescent="0.35">
      <c r="D338" s="3"/>
      <c r="E338" s="3"/>
      <c r="F338" s="3"/>
      <c r="G338" s="3"/>
      <c r="H338" s="3"/>
      <c r="I338" s="3"/>
      <c r="J338" s="3"/>
    </row>
    <row r="339" spans="4:10" s="22" customFormat="1" x14ac:dyDescent="0.35">
      <c r="D339" s="3"/>
      <c r="E339" s="3"/>
      <c r="F339" s="3"/>
      <c r="G339" s="3"/>
      <c r="H339" s="3"/>
      <c r="I339" s="3"/>
      <c r="J339" s="3"/>
    </row>
    <row r="340" spans="4:10" s="22" customFormat="1" x14ac:dyDescent="0.35">
      <c r="D340" s="3"/>
      <c r="E340" s="3"/>
      <c r="F340" s="3"/>
      <c r="G340" s="3"/>
      <c r="H340" s="3"/>
      <c r="I340" s="3"/>
      <c r="J340" s="3"/>
    </row>
    <row r="341" spans="4:10" s="22" customFormat="1" x14ac:dyDescent="0.35">
      <c r="D341" s="3"/>
      <c r="E341" s="3"/>
      <c r="F341" s="3"/>
      <c r="G341" s="3"/>
      <c r="H341" s="3"/>
      <c r="I341" s="3"/>
      <c r="J341" s="3"/>
    </row>
    <row r="342" spans="4:10" s="22" customFormat="1" x14ac:dyDescent="0.35">
      <c r="D342" s="3"/>
      <c r="E342" s="3"/>
      <c r="F342" s="3"/>
      <c r="G342" s="3"/>
      <c r="H342" s="3"/>
      <c r="I342" s="3"/>
      <c r="J342" s="3"/>
    </row>
    <row r="343" spans="4:10" s="22" customFormat="1" x14ac:dyDescent="0.35">
      <c r="D343" s="3"/>
      <c r="E343" s="3"/>
      <c r="F343" s="3"/>
      <c r="G343" s="3"/>
      <c r="H343" s="3"/>
      <c r="I343" s="3"/>
      <c r="J343" s="3"/>
    </row>
    <row r="344" spans="4:10" s="22" customFormat="1" x14ac:dyDescent="0.35">
      <c r="D344" s="3"/>
      <c r="E344" s="3"/>
      <c r="F344" s="3"/>
      <c r="G344" s="3"/>
      <c r="H344" s="3"/>
      <c r="I344" s="3"/>
      <c r="J344" s="3"/>
    </row>
    <row r="345" spans="4:10" s="22" customFormat="1" x14ac:dyDescent="0.35">
      <c r="D345" s="3"/>
      <c r="E345" s="3"/>
      <c r="F345" s="3"/>
      <c r="G345" s="3"/>
      <c r="H345" s="3"/>
      <c r="I345" s="3"/>
      <c r="J345" s="3"/>
    </row>
    <row r="346" spans="4:10" s="22" customFormat="1" x14ac:dyDescent="0.35">
      <c r="D346" s="3"/>
      <c r="E346" s="3"/>
      <c r="F346" s="3"/>
      <c r="G346" s="3"/>
      <c r="H346" s="3"/>
      <c r="I346" s="3"/>
      <c r="J346" s="3"/>
    </row>
    <row r="347" spans="4:10" s="22" customFormat="1" x14ac:dyDescent="0.35">
      <c r="D347" s="3"/>
      <c r="E347" s="3"/>
      <c r="F347" s="3"/>
      <c r="G347" s="3"/>
      <c r="H347" s="3"/>
      <c r="I347" s="3"/>
      <c r="J347" s="3"/>
    </row>
    <row r="348" spans="4:10" s="22" customFormat="1" x14ac:dyDescent="0.35">
      <c r="D348" s="3"/>
      <c r="E348" s="3"/>
      <c r="F348" s="3"/>
      <c r="G348" s="3"/>
      <c r="H348" s="3"/>
      <c r="I348" s="3"/>
      <c r="J348" s="3"/>
    </row>
    <row r="349" spans="4:10" s="22" customFormat="1" x14ac:dyDescent="0.35">
      <c r="D349" s="3"/>
      <c r="E349" s="3"/>
      <c r="F349" s="3"/>
      <c r="G349" s="3"/>
      <c r="H349" s="3"/>
      <c r="I349" s="3"/>
      <c r="J349" s="3"/>
    </row>
    <row r="350" spans="4:10" s="22" customFormat="1" x14ac:dyDescent="0.35">
      <c r="D350" s="3"/>
      <c r="E350" s="3"/>
      <c r="F350" s="3"/>
      <c r="G350" s="3"/>
      <c r="H350" s="3"/>
      <c r="I350" s="3"/>
      <c r="J350" s="3"/>
    </row>
    <row r="351" spans="4:10" s="22" customFormat="1" x14ac:dyDescent="0.35">
      <c r="D351" s="3"/>
      <c r="E351" s="3"/>
      <c r="F351" s="3"/>
      <c r="G351" s="3"/>
      <c r="H351" s="3"/>
      <c r="I351" s="3"/>
      <c r="J351" s="3"/>
    </row>
    <row r="352" spans="4:10" s="22" customFormat="1" x14ac:dyDescent="0.35">
      <c r="D352" s="3"/>
      <c r="E352" s="3"/>
      <c r="F352" s="3"/>
      <c r="G352" s="3"/>
      <c r="H352" s="3"/>
      <c r="I352" s="3"/>
      <c r="J352" s="3"/>
    </row>
    <row r="353" spans="4:10" s="22" customFormat="1" x14ac:dyDescent="0.35">
      <c r="D353" s="3"/>
      <c r="E353" s="3"/>
      <c r="F353" s="3"/>
      <c r="G353" s="3"/>
      <c r="H353" s="3"/>
      <c r="I353" s="3"/>
      <c r="J353" s="3"/>
    </row>
    <row r="354" spans="4:10" s="22" customFormat="1" x14ac:dyDescent="0.35">
      <c r="D354" s="3"/>
      <c r="E354" s="3"/>
      <c r="F354" s="3"/>
      <c r="G354" s="3"/>
      <c r="H354" s="3"/>
      <c r="I354" s="3"/>
      <c r="J354" s="3"/>
    </row>
    <row r="355" spans="4:10" s="22" customFormat="1" x14ac:dyDescent="0.35">
      <c r="D355" s="3"/>
      <c r="E355" s="3"/>
      <c r="F355" s="3"/>
      <c r="G355" s="3"/>
      <c r="H355" s="3"/>
      <c r="I355" s="3"/>
      <c r="J355" s="3"/>
    </row>
    <row r="356" spans="4:10" s="22" customFormat="1" x14ac:dyDescent="0.35">
      <c r="D356" s="3"/>
      <c r="E356" s="3"/>
      <c r="F356" s="3"/>
      <c r="G356" s="3"/>
      <c r="H356" s="3"/>
      <c r="I356" s="3"/>
      <c r="J356" s="3"/>
    </row>
    <row r="357" spans="4:10" s="22" customFormat="1" x14ac:dyDescent="0.35">
      <c r="D357" s="3"/>
      <c r="E357" s="3"/>
      <c r="F357" s="3"/>
      <c r="G357" s="3"/>
      <c r="H357" s="3"/>
      <c r="I357" s="3"/>
      <c r="J357" s="3"/>
    </row>
    <row r="358" spans="4:10" s="22" customFormat="1" x14ac:dyDescent="0.35">
      <c r="D358" s="3"/>
      <c r="E358" s="3"/>
      <c r="F358" s="3"/>
      <c r="G358" s="3"/>
      <c r="H358" s="3"/>
      <c r="I358" s="3"/>
      <c r="J358" s="3"/>
    </row>
    <row r="359" spans="4:10" s="22" customFormat="1" x14ac:dyDescent="0.35">
      <c r="D359" s="3"/>
      <c r="E359" s="3"/>
      <c r="F359" s="3"/>
      <c r="G359" s="3"/>
      <c r="H359" s="3"/>
      <c r="I359" s="3"/>
      <c r="J359" s="3"/>
    </row>
    <row r="360" spans="4:10" s="22" customFormat="1" x14ac:dyDescent="0.35">
      <c r="D360" s="3"/>
      <c r="E360" s="3"/>
      <c r="F360" s="3"/>
      <c r="G360" s="3"/>
      <c r="H360" s="3"/>
      <c r="I360" s="3"/>
      <c r="J360" s="3"/>
    </row>
    <row r="361" spans="4:10" s="22" customFormat="1" x14ac:dyDescent="0.35">
      <c r="D361" s="3"/>
      <c r="E361" s="3"/>
      <c r="F361" s="3"/>
      <c r="G361" s="3"/>
      <c r="H361" s="3"/>
      <c r="I361" s="3"/>
      <c r="J361" s="3"/>
    </row>
    <row r="362" spans="4:10" s="22" customFormat="1" x14ac:dyDescent="0.35">
      <c r="D362" s="3"/>
      <c r="E362" s="3"/>
      <c r="F362" s="3"/>
      <c r="G362" s="3"/>
      <c r="H362" s="3"/>
      <c r="I362" s="3"/>
      <c r="J362" s="3"/>
    </row>
    <row r="363" spans="4:10" s="22" customFormat="1" x14ac:dyDescent="0.35">
      <c r="D363" s="3"/>
      <c r="E363" s="3"/>
      <c r="F363" s="3"/>
      <c r="G363" s="3"/>
      <c r="H363" s="3"/>
      <c r="I363" s="3"/>
      <c r="J363" s="3"/>
    </row>
    <row r="364" spans="4:10" s="22" customFormat="1" x14ac:dyDescent="0.35">
      <c r="D364" s="3"/>
      <c r="E364" s="3"/>
      <c r="F364" s="3"/>
      <c r="G364" s="3"/>
      <c r="H364" s="3"/>
      <c r="I364" s="3"/>
      <c r="J364" s="3"/>
    </row>
    <row r="365" spans="4:10" s="22" customFormat="1" x14ac:dyDescent="0.35">
      <c r="D365" s="3"/>
      <c r="E365" s="3"/>
      <c r="F365" s="3"/>
      <c r="G365" s="3"/>
      <c r="H365" s="3"/>
      <c r="I365" s="3"/>
      <c r="J365" s="3"/>
    </row>
    <row r="366" spans="4:10" s="22" customFormat="1" x14ac:dyDescent="0.35">
      <c r="D366" s="3"/>
      <c r="E366" s="3"/>
      <c r="F366" s="3"/>
      <c r="G366" s="3"/>
      <c r="H366" s="3"/>
      <c r="I366" s="3"/>
      <c r="J366" s="3"/>
    </row>
    <row r="367" spans="4:10" s="22" customFormat="1" x14ac:dyDescent="0.35">
      <c r="D367" s="3"/>
      <c r="E367" s="3"/>
      <c r="F367" s="3"/>
      <c r="G367" s="3"/>
      <c r="H367" s="3"/>
      <c r="I367" s="3"/>
      <c r="J367" s="3"/>
    </row>
    <row r="368" spans="4:10" s="22" customFormat="1" x14ac:dyDescent="0.35">
      <c r="D368" s="3"/>
      <c r="E368" s="3"/>
      <c r="F368" s="3"/>
      <c r="G368" s="3"/>
      <c r="H368" s="3"/>
      <c r="I368" s="3"/>
      <c r="J368" s="3"/>
    </row>
    <row r="369" spans="4:10" s="22" customFormat="1" x14ac:dyDescent="0.35">
      <c r="D369" s="3"/>
      <c r="E369" s="3"/>
      <c r="F369" s="3"/>
      <c r="G369" s="3"/>
      <c r="H369" s="3"/>
      <c r="I369" s="3"/>
      <c r="J369" s="3"/>
    </row>
    <row r="370" spans="4:10" s="22" customFormat="1" x14ac:dyDescent="0.35">
      <c r="D370" s="3"/>
      <c r="E370" s="3"/>
      <c r="F370" s="3"/>
      <c r="G370" s="3"/>
      <c r="H370" s="3"/>
      <c r="I370" s="3"/>
      <c r="J370" s="3"/>
    </row>
    <row r="371" spans="4:10" s="22" customFormat="1" x14ac:dyDescent="0.35">
      <c r="D371" s="3"/>
      <c r="E371" s="3"/>
      <c r="F371" s="3"/>
      <c r="G371" s="3"/>
      <c r="H371" s="3"/>
      <c r="I371" s="3"/>
      <c r="J371" s="3"/>
    </row>
    <row r="372" spans="4:10" s="22" customFormat="1" x14ac:dyDescent="0.35">
      <c r="D372" s="3"/>
      <c r="E372" s="3"/>
      <c r="F372" s="3"/>
      <c r="G372" s="3"/>
      <c r="H372" s="3"/>
      <c r="I372" s="3"/>
      <c r="J372" s="3"/>
    </row>
    <row r="373" spans="4:10" s="22" customFormat="1" x14ac:dyDescent="0.35">
      <c r="D373" s="3"/>
      <c r="E373" s="3"/>
      <c r="F373" s="3"/>
      <c r="G373" s="3"/>
      <c r="H373" s="3"/>
      <c r="I373" s="3"/>
      <c r="J373" s="3"/>
    </row>
    <row r="374" spans="4:10" s="22" customFormat="1" x14ac:dyDescent="0.35">
      <c r="D374" s="3"/>
      <c r="E374" s="3"/>
      <c r="F374" s="3"/>
      <c r="G374" s="3"/>
      <c r="H374" s="3"/>
      <c r="I374" s="3"/>
      <c r="J374" s="3"/>
    </row>
    <row r="375" spans="4:10" s="22" customFormat="1" x14ac:dyDescent="0.35">
      <c r="D375" s="3"/>
      <c r="E375" s="3"/>
      <c r="F375" s="3"/>
      <c r="G375" s="3"/>
      <c r="H375" s="3"/>
      <c r="I375" s="3"/>
      <c r="J375" s="3"/>
    </row>
    <row r="376" spans="4:10" s="22" customFormat="1" x14ac:dyDescent="0.35">
      <c r="D376" s="3"/>
      <c r="E376" s="3"/>
      <c r="F376" s="3"/>
      <c r="G376" s="3"/>
      <c r="H376" s="3"/>
      <c r="I376" s="3"/>
      <c r="J376" s="3"/>
    </row>
    <row r="377" spans="4:10" s="22" customFormat="1" x14ac:dyDescent="0.35">
      <c r="D377" s="3"/>
      <c r="E377" s="3"/>
      <c r="F377" s="3"/>
      <c r="G377" s="3"/>
      <c r="H377" s="3"/>
      <c r="I377" s="3"/>
      <c r="J377" s="3"/>
    </row>
    <row r="378" spans="4:10" s="22" customFormat="1" x14ac:dyDescent="0.35">
      <c r="D378" s="3"/>
      <c r="E378" s="3"/>
      <c r="F378" s="3"/>
      <c r="G378" s="3"/>
      <c r="H378" s="3"/>
      <c r="I378" s="3"/>
      <c r="J378" s="3"/>
    </row>
    <row r="379" spans="4:10" s="22" customFormat="1" x14ac:dyDescent="0.35">
      <c r="D379" s="3"/>
      <c r="E379" s="3"/>
      <c r="F379" s="3"/>
      <c r="G379" s="3"/>
      <c r="H379" s="3"/>
      <c r="I379" s="3"/>
      <c r="J379" s="3"/>
    </row>
    <row r="380" spans="4:10" s="22" customFormat="1" x14ac:dyDescent="0.35">
      <c r="D380" s="3"/>
      <c r="E380" s="3"/>
      <c r="F380" s="3"/>
      <c r="G380" s="3"/>
      <c r="H380" s="3"/>
      <c r="I380" s="3"/>
      <c r="J380" s="3"/>
    </row>
    <row r="381" spans="4:10" s="22" customFormat="1" x14ac:dyDescent="0.35">
      <c r="D381" s="3"/>
      <c r="E381" s="3"/>
      <c r="F381" s="3"/>
      <c r="G381" s="3"/>
      <c r="H381" s="3"/>
      <c r="I381" s="3"/>
      <c r="J381" s="3"/>
    </row>
    <row r="382" spans="4:10" s="22" customFormat="1" x14ac:dyDescent="0.35">
      <c r="D382" s="3"/>
      <c r="E382" s="3"/>
      <c r="F382" s="3"/>
      <c r="G382" s="3"/>
      <c r="H382" s="3"/>
      <c r="I382" s="3"/>
      <c r="J382" s="3"/>
    </row>
    <row r="383" spans="4:10" s="22" customFormat="1" x14ac:dyDescent="0.35">
      <c r="D383" s="3"/>
      <c r="E383" s="3"/>
      <c r="F383" s="3"/>
      <c r="G383" s="3"/>
      <c r="H383" s="3"/>
      <c r="I383" s="3"/>
      <c r="J383" s="3"/>
    </row>
    <row r="384" spans="4:10" s="22" customFormat="1" x14ac:dyDescent="0.35">
      <c r="D384" s="3"/>
      <c r="E384" s="3"/>
      <c r="F384" s="3"/>
      <c r="G384" s="3"/>
      <c r="H384" s="3"/>
      <c r="I384" s="3"/>
      <c r="J384" s="3"/>
    </row>
    <row r="385" spans="4:10" s="22" customFormat="1" x14ac:dyDescent="0.35">
      <c r="D385" s="3"/>
      <c r="E385" s="3"/>
      <c r="F385" s="3"/>
      <c r="G385" s="3"/>
      <c r="H385" s="3"/>
      <c r="I385" s="3"/>
      <c r="J385" s="3"/>
    </row>
    <row r="386" spans="4:10" s="22" customFormat="1" x14ac:dyDescent="0.35">
      <c r="D386" s="3"/>
      <c r="E386" s="3"/>
      <c r="F386" s="3"/>
      <c r="G386" s="3"/>
      <c r="H386" s="3"/>
      <c r="I386" s="3"/>
      <c r="J386" s="3"/>
    </row>
    <row r="387" spans="4:10" s="22" customFormat="1" x14ac:dyDescent="0.35">
      <c r="D387" s="3"/>
      <c r="E387" s="3"/>
      <c r="F387" s="3"/>
      <c r="G387" s="3"/>
      <c r="H387" s="3"/>
      <c r="I387" s="3"/>
      <c r="J387" s="3"/>
    </row>
    <row r="388" spans="4:10" s="22" customFormat="1" x14ac:dyDescent="0.35">
      <c r="D388" s="3"/>
      <c r="E388" s="3"/>
      <c r="F388" s="3"/>
      <c r="G388" s="3"/>
      <c r="H388" s="3"/>
      <c r="I388" s="3"/>
      <c r="J388" s="3"/>
    </row>
    <row r="389" spans="4:10" s="22" customFormat="1" x14ac:dyDescent="0.35">
      <c r="D389" s="3"/>
      <c r="E389" s="3"/>
      <c r="F389" s="3"/>
      <c r="G389" s="3"/>
      <c r="H389" s="3"/>
      <c r="I389" s="3"/>
      <c r="J389" s="3"/>
    </row>
    <row r="390" spans="4:10" s="22" customFormat="1" x14ac:dyDescent="0.35">
      <c r="D390" s="3"/>
      <c r="E390" s="3"/>
      <c r="F390" s="3"/>
      <c r="G390" s="3"/>
      <c r="H390" s="3"/>
      <c r="I390" s="3"/>
      <c r="J390" s="3"/>
    </row>
    <row r="391" spans="4:10" s="22" customFormat="1" x14ac:dyDescent="0.35">
      <c r="D391" s="3"/>
      <c r="E391" s="3"/>
      <c r="F391" s="3"/>
      <c r="G391" s="3"/>
      <c r="H391" s="3"/>
      <c r="I391" s="3"/>
      <c r="J391" s="3"/>
    </row>
    <row r="392" spans="4:10" s="22" customFormat="1" x14ac:dyDescent="0.35">
      <c r="D392" s="3"/>
      <c r="E392" s="3"/>
      <c r="F392" s="3"/>
      <c r="G392" s="3"/>
      <c r="H392" s="3"/>
      <c r="I392" s="3"/>
      <c r="J392" s="3"/>
    </row>
    <row r="393" spans="4:10" s="22" customFormat="1" x14ac:dyDescent="0.35">
      <c r="D393" s="3"/>
      <c r="E393" s="3"/>
      <c r="F393" s="3"/>
      <c r="G393" s="3"/>
      <c r="H393" s="3"/>
      <c r="I393" s="3"/>
      <c r="J393" s="3"/>
    </row>
    <row r="394" spans="4:10" s="22" customFormat="1" x14ac:dyDescent="0.35">
      <c r="D394" s="3"/>
      <c r="E394" s="3"/>
      <c r="F394" s="3"/>
      <c r="G394" s="3"/>
      <c r="H394" s="3"/>
      <c r="I394" s="3"/>
      <c r="J394" s="3"/>
    </row>
    <row r="395" spans="4:10" s="22" customFormat="1" x14ac:dyDescent="0.35">
      <c r="D395" s="3"/>
      <c r="E395" s="3"/>
      <c r="F395" s="3"/>
      <c r="G395" s="3"/>
      <c r="H395" s="3"/>
      <c r="I395" s="3"/>
      <c r="J395" s="3"/>
    </row>
    <row r="396" spans="4:10" s="22" customFormat="1" x14ac:dyDescent="0.35">
      <c r="D396" s="3"/>
      <c r="E396" s="3"/>
      <c r="F396" s="3"/>
      <c r="G396" s="3"/>
      <c r="H396" s="3"/>
      <c r="I396" s="3"/>
      <c r="J396" s="3"/>
    </row>
    <row r="397" spans="4:10" s="22" customFormat="1" x14ac:dyDescent="0.35">
      <c r="D397" s="3"/>
      <c r="E397" s="3"/>
      <c r="F397" s="3"/>
      <c r="G397" s="3"/>
      <c r="H397" s="3"/>
      <c r="I397" s="3"/>
      <c r="J397" s="3"/>
    </row>
    <row r="398" spans="4:10" s="22" customFormat="1" x14ac:dyDescent="0.35">
      <c r="D398" s="3"/>
      <c r="E398" s="3"/>
      <c r="F398" s="3"/>
      <c r="G398" s="3"/>
      <c r="H398" s="3"/>
      <c r="I398" s="3"/>
      <c r="J398" s="3"/>
    </row>
    <row r="399" spans="4:10" s="22" customFormat="1" x14ac:dyDescent="0.35">
      <c r="D399" s="3"/>
      <c r="E399" s="3"/>
      <c r="F399" s="3"/>
      <c r="G399" s="3"/>
      <c r="H399" s="3"/>
      <c r="I399" s="3"/>
      <c r="J399" s="3"/>
    </row>
    <row r="400" spans="4:10" s="22" customFormat="1" x14ac:dyDescent="0.35">
      <c r="D400" s="3"/>
      <c r="E400" s="3"/>
      <c r="F400" s="3"/>
      <c r="G400" s="3"/>
      <c r="H400" s="3"/>
      <c r="I400" s="3"/>
      <c r="J400" s="3"/>
    </row>
    <row r="401" spans="4:10" s="22" customFormat="1" x14ac:dyDescent="0.35">
      <c r="D401" s="3"/>
      <c r="E401" s="3"/>
      <c r="F401" s="3"/>
      <c r="G401" s="3"/>
      <c r="H401" s="3"/>
      <c r="I401" s="3"/>
      <c r="J401" s="3"/>
    </row>
    <row r="402" spans="4:10" s="22" customFormat="1" x14ac:dyDescent="0.35">
      <c r="D402" s="3"/>
      <c r="E402" s="3"/>
      <c r="F402" s="3"/>
      <c r="G402" s="3"/>
      <c r="H402" s="3"/>
      <c r="I402" s="3"/>
      <c r="J402" s="3"/>
    </row>
    <row r="403" spans="4:10" s="22" customFormat="1" x14ac:dyDescent="0.35">
      <c r="D403" s="3"/>
      <c r="E403" s="3"/>
      <c r="F403" s="3"/>
      <c r="G403" s="3"/>
      <c r="H403" s="3"/>
      <c r="I403" s="3"/>
      <c r="J403" s="3"/>
    </row>
    <row r="404" spans="4:10" s="22" customFormat="1" x14ac:dyDescent="0.35">
      <c r="D404" s="3"/>
      <c r="E404" s="3"/>
      <c r="F404" s="3"/>
      <c r="G404" s="3"/>
      <c r="H404" s="3"/>
      <c r="I404" s="3"/>
      <c r="J404" s="3"/>
    </row>
    <row r="405" spans="4:10" s="22" customFormat="1" x14ac:dyDescent="0.35">
      <c r="D405" s="3"/>
      <c r="E405" s="3"/>
      <c r="F405" s="3"/>
      <c r="G405" s="3"/>
      <c r="H405" s="3"/>
      <c r="I405" s="3"/>
      <c r="J405" s="3"/>
    </row>
    <row r="406" spans="4:10" s="22" customFormat="1" x14ac:dyDescent="0.35">
      <c r="D406" s="3"/>
      <c r="E406" s="3"/>
      <c r="F406" s="3"/>
      <c r="G406" s="3"/>
      <c r="H406" s="3"/>
      <c r="I406" s="3"/>
      <c r="J406" s="3"/>
    </row>
    <row r="407" spans="4:10" s="22" customFormat="1" x14ac:dyDescent="0.35">
      <c r="D407" s="3"/>
      <c r="E407" s="3"/>
      <c r="F407" s="3"/>
      <c r="G407" s="3"/>
      <c r="H407" s="3"/>
      <c r="I407" s="3"/>
      <c r="J407" s="3"/>
    </row>
    <row r="408" spans="4:10" s="22" customFormat="1" x14ac:dyDescent="0.35">
      <c r="D408" s="3"/>
      <c r="E408" s="3"/>
      <c r="F408" s="3"/>
      <c r="G408" s="3"/>
      <c r="H408" s="3"/>
      <c r="I408" s="3"/>
      <c r="J408" s="3"/>
    </row>
    <row r="409" spans="4:10" s="22" customFormat="1" x14ac:dyDescent="0.35">
      <c r="D409" s="3"/>
      <c r="E409" s="3"/>
      <c r="F409" s="3"/>
      <c r="G409" s="3"/>
      <c r="H409" s="3"/>
      <c r="I409" s="3"/>
      <c r="J409" s="3"/>
    </row>
    <row r="410" spans="4:10" s="22" customFormat="1" x14ac:dyDescent="0.35">
      <c r="D410" s="3"/>
      <c r="E410" s="3"/>
      <c r="F410" s="3"/>
      <c r="G410" s="3"/>
      <c r="H410" s="3"/>
      <c r="I410" s="3"/>
      <c r="J410" s="3"/>
    </row>
    <row r="411" spans="4:10" s="22" customFormat="1" x14ac:dyDescent="0.35">
      <c r="D411" s="3"/>
      <c r="E411" s="3"/>
      <c r="F411" s="3"/>
      <c r="G411" s="3"/>
      <c r="H411" s="3"/>
      <c r="I411" s="3"/>
      <c r="J411" s="3"/>
    </row>
    <row r="412" spans="4:10" s="22" customFormat="1" x14ac:dyDescent="0.35">
      <c r="D412" s="3"/>
      <c r="E412" s="3"/>
      <c r="F412" s="3"/>
      <c r="G412" s="3"/>
      <c r="H412" s="3"/>
      <c r="I412" s="3"/>
      <c r="J412" s="3"/>
    </row>
    <row r="413" spans="4:10" s="22" customFormat="1" x14ac:dyDescent="0.35">
      <c r="D413" s="3"/>
      <c r="E413" s="3"/>
      <c r="F413" s="3"/>
      <c r="G413" s="3"/>
      <c r="H413" s="3"/>
      <c r="I413" s="3"/>
      <c r="J413" s="3"/>
    </row>
    <row r="414" spans="4:10" s="22" customFormat="1" x14ac:dyDescent="0.35">
      <c r="D414" s="3"/>
      <c r="E414" s="3"/>
      <c r="F414" s="3"/>
      <c r="G414" s="3"/>
      <c r="H414" s="3"/>
      <c r="I414" s="3"/>
      <c r="J414" s="3"/>
    </row>
    <row r="415" spans="4:10" s="22" customFormat="1" x14ac:dyDescent="0.35">
      <c r="D415" s="3"/>
      <c r="E415" s="3"/>
      <c r="F415" s="3"/>
      <c r="G415" s="3"/>
      <c r="H415" s="3"/>
      <c r="I415" s="3"/>
      <c r="J415" s="3"/>
    </row>
    <row r="416" spans="4:10" s="22" customFormat="1" x14ac:dyDescent="0.35">
      <c r="D416" s="3"/>
      <c r="E416" s="3"/>
      <c r="F416" s="3"/>
      <c r="G416" s="3"/>
      <c r="H416" s="3"/>
      <c r="I416" s="3"/>
      <c r="J416" s="3"/>
    </row>
    <row r="417" spans="4:10" s="22" customFormat="1" x14ac:dyDescent="0.35">
      <c r="D417" s="3"/>
      <c r="E417" s="3"/>
      <c r="F417" s="3"/>
      <c r="G417" s="3"/>
      <c r="H417" s="3"/>
      <c r="I417" s="3"/>
      <c r="J417" s="3"/>
    </row>
    <row r="418" spans="4:10" s="22" customFormat="1" x14ac:dyDescent="0.35">
      <c r="D418" s="3"/>
      <c r="E418" s="3"/>
      <c r="F418" s="3"/>
      <c r="G418" s="3"/>
      <c r="H418" s="3"/>
      <c r="I418" s="3"/>
      <c r="J418" s="3"/>
    </row>
    <row r="419" spans="4:10" s="22" customFormat="1" x14ac:dyDescent="0.35">
      <c r="D419" s="3"/>
      <c r="E419" s="3"/>
      <c r="F419" s="3"/>
      <c r="G419" s="3"/>
      <c r="H419" s="3"/>
      <c r="I419" s="3"/>
      <c r="J419" s="3"/>
    </row>
    <row r="420" spans="4:10" s="22" customFormat="1" x14ac:dyDescent="0.35">
      <c r="D420" s="3"/>
      <c r="E420" s="3"/>
      <c r="F420" s="3"/>
      <c r="G420" s="3"/>
      <c r="H420" s="3"/>
      <c r="I420" s="3"/>
      <c r="J420" s="3"/>
    </row>
    <row r="421" spans="4:10" s="22" customFormat="1" x14ac:dyDescent="0.35">
      <c r="D421" s="3"/>
      <c r="E421" s="3"/>
      <c r="F421" s="3"/>
      <c r="G421" s="3"/>
      <c r="H421" s="3"/>
      <c r="I421" s="3"/>
      <c r="J421" s="3"/>
    </row>
    <row r="422" spans="4:10" s="22" customFormat="1" x14ac:dyDescent="0.35">
      <c r="D422" s="3"/>
      <c r="E422" s="3"/>
      <c r="F422" s="3"/>
      <c r="G422" s="3"/>
      <c r="H422" s="3"/>
      <c r="I422" s="3"/>
      <c r="J422" s="3"/>
    </row>
    <row r="423" spans="4:10" s="22" customFormat="1" x14ac:dyDescent="0.35">
      <c r="D423" s="3"/>
      <c r="E423" s="3"/>
      <c r="F423" s="3"/>
      <c r="G423" s="3"/>
      <c r="H423" s="3"/>
      <c r="I423" s="3"/>
      <c r="J423" s="3"/>
    </row>
    <row r="424" spans="4:10" s="22" customFormat="1" x14ac:dyDescent="0.35">
      <c r="D424" s="3"/>
      <c r="E424" s="3"/>
      <c r="F424" s="3"/>
      <c r="G424" s="3"/>
      <c r="H424" s="3"/>
      <c r="I424" s="3"/>
      <c r="J424" s="3"/>
    </row>
    <row r="425" spans="4:10" s="22" customFormat="1" x14ac:dyDescent="0.35">
      <c r="D425" s="3"/>
      <c r="E425" s="3"/>
      <c r="F425" s="3"/>
      <c r="G425" s="3"/>
      <c r="H425" s="3"/>
      <c r="I425" s="3"/>
      <c r="J425" s="3"/>
    </row>
    <row r="426" spans="4:10" s="22" customFormat="1" x14ac:dyDescent="0.35">
      <c r="D426" s="3"/>
      <c r="E426" s="3"/>
      <c r="F426" s="3"/>
      <c r="G426" s="3"/>
      <c r="H426" s="3"/>
      <c r="I426" s="3"/>
      <c r="J426" s="3"/>
    </row>
    <row r="427" spans="4:10" s="22" customFormat="1" x14ac:dyDescent="0.35">
      <c r="D427" s="3"/>
      <c r="E427" s="3"/>
      <c r="F427" s="3"/>
      <c r="G427" s="3"/>
      <c r="H427" s="3"/>
      <c r="I427" s="3"/>
      <c r="J427" s="3"/>
    </row>
    <row r="428" spans="4:10" s="22" customFormat="1" x14ac:dyDescent="0.35">
      <c r="D428" s="3"/>
      <c r="E428" s="3"/>
      <c r="F428" s="3"/>
      <c r="G428" s="3"/>
      <c r="H428" s="3"/>
      <c r="I428" s="3"/>
      <c r="J428" s="3"/>
    </row>
    <row r="429" spans="4:10" s="22" customFormat="1" x14ac:dyDescent="0.35">
      <c r="D429" s="3"/>
      <c r="E429" s="3"/>
      <c r="F429" s="3"/>
      <c r="G429" s="3"/>
      <c r="H429" s="3"/>
      <c r="I429" s="3"/>
      <c r="J429" s="3"/>
    </row>
    <row r="430" spans="4:10" s="22" customFormat="1" x14ac:dyDescent="0.35">
      <c r="D430" s="3"/>
      <c r="E430" s="3"/>
      <c r="F430" s="3"/>
      <c r="G430" s="3"/>
      <c r="H430" s="3"/>
      <c r="I430" s="3"/>
      <c r="J430" s="3"/>
    </row>
    <row r="431" spans="4:10" s="22" customFormat="1" x14ac:dyDescent="0.35">
      <c r="D431" s="3"/>
      <c r="E431" s="3"/>
      <c r="F431" s="3"/>
      <c r="G431" s="3"/>
      <c r="H431" s="3"/>
      <c r="I431" s="3"/>
      <c r="J431" s="3"/>
    </row>
    <row r="432" spans="4:10" s="22" customFormat="1" x14ac:dyDescent="0.35">
      <c r="D432" s="3"/>
      <c r="E432" s="3"/>
      <c r="F432" s="3"/>
      <c r="G432" s="3"/>
      <c r="H432" s="3"/>
      <c r="I432" s="3"/>
      <c r="J432" s="3"/>
    </row>
    <row r="433" spans="4:10" s="22" customFormat="1" x14ac:dyDescent="0.35">
      <c r="D433" s="3"/>
      <c r="E433" s="3"/>
      <c r="F433" s="3"/>
      <c r="G433" s="3"/>
      <c r="H433" s="3"/>
      <c r="I433" s="3"/>
      <c r="J433" s="3"/>
    </row>
    <row r="434" spans="4:10" s="22" customFormat="1" x14ac:dyDescent="0.35">
      <c r="D434" s="3"/>
      <c r="E434" s="3"/>
      <c r="F434" s="3"/>
      <c r="G434" s="3"/>
      <c r="H434" s="3"/>
      <c r="I434" s="3"/>
      <c r="J434" s="3"/>
    </row>
    <row r="435" spans="4:10" s="22" customFormat="1" x14ac:dyDescent="0.35">
      <c r="D435" s="3"/>
      <c r="E435" s="3"/>
      <c r="F435" s="3"/>
      <c r="G435" s="3"/>
      <c r="H435" s="3"/>
      <c r="I435" s="3"/>
      <c r="J435" s="3"/>
    </row>
    <row r="436" spans="4:10" s="22" customFormat="1" x14ac:dyDescent="0.35">
      <c r="D436" s="3"/>
      <c r="E436" s="3"/>
      <c r="F436" s="3"/>
      <c r="G436" s="3"/>
      <c r="H436" s="3"/>
      <c r="I436" s="3"/>
      <c r="J436" s="3"/>
    </row>
    <row r="437" spans="4:10" s="22" customFormat="1" x14ac:dyDescent="0.35">
      <c r="D437" s="3"/>
      <c r="E437" s="3"/>
      <c r="F437" s="3"/>
      <c r="G437" s="3"/>
      <c r="H437" s="3"/>
      <c r="I437" s="3"/>
      <c r="J437" s="3"/>
    </row>
    <row r="438" spans="4:10" s="22" customFormat="1" x14ac:dyDescent="0.35">
      <c r="D438" s="3"/>
      <c r="E438" s="3"/>
      <c r="F438" s="3"/>
      <c r="G438" s="3"/>
      <c r="H438" s="3"/>
      <c r="I438" s="3"/>
      <c r="J438" s="3"/>
    </row>
    <row r="439" spans="4:10" s="22" customFormat="1" x14ac:dyDescent="0.35">
      <c r="D439" s="3"/>
      <c r="E439" s="3"/>
      <c r="F439" s="3"/>
      <c r="G439" s="3"/>
      <c r="H439" s="3"/>
      <c r="I439" s="3"/>
      <c r="J439" s="3"/>
    </row>
    <row r="440" spans="4:10" s="22" customFormat="1" x14ac:dyDescent="0.35">
      <c r="D440" s="3"/>
      <c r="E440" s="3"/>
      <c r="F440" s="3"/>
      <c r="G440" s="3"/>
      <c r="H440" s="3"/>
      <c r="I440" s="3"/>
      <c r="J440" s="3"/>
    </row>
    <row r="441" spans="4:10" s="22" customFormat="1" x14ac:dyDescent="0.35">
      <c r="D441" s="3"/>
      <c r="E441" s="3"/>
      <c r="F441" s="3"/>
      <c r="G441" s="3"/>
      <c r="H441" s="3"/>
      <c r="I441" s="3"/>
      <c r="J441" s="3"/>
    </row>
    <row r="442" spans="4:10" s="22" customFormat="1" x14ac:dyDescent="0.35">
      <c r="D442" s="3"/>
      <c r="E442" s="3"/>
      <c r="F442" s="3"/>
      <c r="G442" s="3"/>
      <c r="H442" s="3"/>
      <c r="I442" s="3"/>
      <c r="J442" s="3"/>
    </row>
    <row r="443" spans="4:10" s="22" customFormat="1" x14ac:dyDescent="0.35">
      <c r="D443" s="3"/>
      <c r="E443" s="3"/>
      <c r="F443" s="3"/>
      <c r="G443" s="3"/>
      <c r="H443" s="3"/>
      <c r="I443" s="3"/>
      <c r="J443" s="3"/>
    </row>
    <row r="444" spans="4:10" s="22" customFormat="1" x14ac:dyDescent="0.35">
      <c r="D444" s="3"/>
      <c r="E444" s="3"/>
      <c r="F444" s="3"/>
      <c r="G444" s="3"/>
      <c r="H444" s="3"/>
      <c r="I444" s="3"/>
      <c r="J444" s="3"/>
    </row>
    <row r="445" spans="4:10" s="22" customFormat="1" x14ac:dyDescent="0.35">
      <c r="D445" s="3"/>
      <c r="E445" s="3"/>
      <c r="F445" s="3"/>
      <c r="G445" s="3"/>
      <c r="H445" s="3"/>
      <c r="I445" s="3"/>
      <c r="J445" s="3"/>
    </row>
    <row r="446" spans="4:10" s="22" customFormat="1" x14ac:dyDescent="0.35">
      <c r="D446" s="3"/>
      <c r="E446" s="3"/>
      <c r="F446" s="3"/>
      <c r="G446" s="3"/>
      <c r="H446" s="3"/>
      <c r="I446" s="3"/>
      <c r="J446" s="3"/>
    </row>
    <row r="447" spans="4:10" s="22" customFormat="1" x14ac:dyDescent="0.35">
      <c r="D447" s="3"/>
      <c r="E447" s="3"/>
      <c r="F447" s="3"/>
      <c r="G447" s="3"/>
      <c r="H447" s="3"/>
      <c r="I447" s="3"/>
      <c r="J447" s="3"/>
    </row>
    <row r="448" spans="4:10" s="22" customFormat="1" x14ac:dyDescent="0.35">
      <c r="D448" s="3"/>
      <c r="E448" s="3"/>
      <c r="F448" s="3"/>
      <c r="G448" s="3"/>
      <c r="H448" s="3"/>
      <c r="I448" s="3"/>
      <c r="J448" s="3"/>
    </row>
    <row r="449" spans="4:10" s="22" customFormat="1" x14ac:dyDescent="0.35">
      <c r="D449" s="3"/>
      <c r="E449" s="3"/>
      <c r="F449" s="3"/>
      <c r="G449" s="3"/>
      <c r="H449" s="3"/>
      <c r="I449" s="3"/>
      <c r="J449" s="3"/>
    </row>
    <row r="450" spans="4:10" s="22" customFormat="1" x14ac:dyDescent="0.35">
      <c r="D450" s="3"/>
      <c r="E450" s="3"/>
      <c r="F450" s="3"/>
      <c r="G450" s="3"/>
      <c r="H450" s="3"/>
      <c r="I450" s="3"/>
      <c r="J450" s="3"/>
    </row>
    <row r="451" spans="4:10" s="22" customFormat="1" x14ac:dyDescent="0.35">
      <c r="D451" s="3"/>
      <c r="E451" s="3"/>
      <c r="F451" s="3"/>
      <c r="G451" s="3"/>
      <c r="H451" s="3"/>
      <c r="I451" s="3"/>
      <c r="J451" s="3"/>
    </row>
    <row r="452" spans="4:10" s="22" customFormat="1" x14ac:dyDescent="0.35">
      <c r="D452" s="3"/>
      <c r="E452" s="3"/>
      <c r="F452" s="3"/>
      <c r="G452" s="3"/>
      <c r="H452" s="3"/>
      <c r="I452" s="3"/>
      <c r="J452" s="3"/>
    </row>
    <row r="453" spans="4:10" s="22" customFormat="1" x14ac:dyDescent="0.35">
      <c r="D453" s="3"/>
      <c r="E453" s="3"/>
      <c r="F453" s="3"/>
      <c r="G453" s="3"/>
      <c r="H453" s="3"/>
      <c r="I453" s="3"/>
      <c r="J453" s="3"/>
    </row>
    <row r="454" spans="4:10" s="22" customFormat="1" x14ac:dyDescent="0.35">
      <c r="D454" s="3"/>
      <c r="E454" s="3"/>
      <c r="F454" s="3"/>
      <c r="G454" s="3"/>
      <c r="H454" s="3"/>
      <c r="I454" s="3"/>
      <c r="J454" s="3"/>
    </row>
    <row r="455" spans="4:10" s="22" customFormat="1" x14ac:dyDescent="0.35">
      <c r="D455" s="3"/>
      <c r="E455" s="3"/>
      <c r="F455" s="3"/>
      <c r="G455" s="3"/>
      <c r="H455" s="3"/>
      <c r="I455" s="3"/>
      <c r="J455" s="3"/>
    </row>
    <row r="456" spans="4:10" s="22" customFormat="1" x14ac:dyDescent="0.35">
      <c r="D456" s="3"/>
      <c r="E456" s="3"/>
      <c r="F456" s="3"/>
      <c r="G456" s="3"/>
      <c r="H456" s="3"/>
      <c r="I456" s="3"/>
      <c r="J456" s="3"/>
    </row>
    <row r="457" spans="4:10" s="22" customFormat="1" x14ac:dyDescent="0.35">
      <c r="D457" s="3"/>
      <c r="E457" s="3"/>
      <c r="F457" s="3"/>
      <c r="G457" s="3"/>
      <c r="H457" s="3"/>
      <c r="I457" s="3"/>
      <c r="J457" s="3"/>
    </row>
    <row r="458" spans="4:10" s="22" customFormat="1" x14ac:dyDescent="0.35">
      <c r="D458" s="3"/>
      <c r="E458" s="3"/>
      <c r="F458" s="3"/>
      <c r="G458" s="3"/>
      <c r="H458" s="3"/>
      <c r="I458" s="3"/>
      <c r="J458" s="3"/>
    </row>
    <row r="459" spans="4:10" s="22" customFormat="1" x14ac:dyDescent="0.35">
      <c r="D459" s="3"/>
      <c r="E459" s="3"/>
      <c r="F459" s="3"/>
      <c r="G459" s="3"/>
      <c r="H459" s="3"/>
      <c r="I459" s="3"/>
      <c r="J459" s="3"/>
    </row>
    <row r="460" spans="4:10" s="22" customFormat="1" x14ac:dyDescent="0.35">
      <c r="D460" s="3"/>
      <c r="E460" s="3"/>
      <c r="F460" s="3"/>
      <c r="G460" s="3"/>
      <c r="H460" s="3"/>
      <c r="I460" s="3"/>
      <c r="J460" s="3"/>
    </row>
    <row r="461" spans="4:10" s="22" customFormat="1" x14ac:dyDescent="0.35">
      <c r="D461" s="3"/>
      <c r="E461" s="3"/>
      <c r="F461" s="3"/>
      <c r="G461" s="3"/>
      <c r="H461" s="3"/>
      <c r="I461" s="3"/>
      <c r="J461" s="3"/>
    </row>
    <row r="462" spans="4:10" s="22" customFormat="1" x14ac:dyDescent="0.35">
      <c r="D462" s="3"/>
      <c r="E462" s="3"/>
      <c r="F462" s="3"/>
      <c r="G462" s="3"/>
      <c r="H462" s="3"/>
      <c r="I462" s="3"/>
      <c r="J462" s="3"/>
    </row>
    <row r="463" spans="4:10" s="22" customFormat="1" x14ac:dyDescent="0.35">
      <c r="D463" s="3"/>
      <c r="E463" s="3"/>
      <c r="F463" s="3"/>
      <c r="G463" s="3"/>
      <c r="H463" s="3"/>
      <c r="I463" s="3"/>
      <c r="J463" s="3"/>
    </row>
    <row r="464" spans="4:10" s="22" customFormat="1" x14ac:dyDescent="0.35">
      <c r="D464" s="3"/>
      <c r="E464" s="3"/>
      <c r="F464" s="3"/>
      <c r="G464" s="3"/>
      <c r="H464" s="3"/>
      <c r="I464" s="3"/>
      <c r="J464" s="3"/>
    </row>
    <row r="465" spans="4:10" s="22" customFormat="1" x14ac:dyDescent="0.35">
      <c r="D465" s="3"/>
      <c r="E465" s="3"/>
      <c r="F465" s="3"/>
      <c r="G465" s="3"/>
      <c r="H465" s="3"/>
      <c r="I465" s="3"/>
      <c r="J465" s="3"/>
    </row>
    <row r="466" spans="4:10" s="22" customFormat="1" x14ac:dyDescent="0.35">
      <c r="D466" s="3"/>
      <c r="E466" s="3"/>
      <c r="F466" s="3"/>
      <c r="G466" s="3"/>
      <c r="H466" s="3"/>
      <c r="I466" s="3"/>
      <c r="J466" s="3"/>
    </row>
    <row r="467" spans="4:10" s="22" customFormat="1" x14ac:dyDescent="0.35">
      <c r="D467" s="3"/>
      <c r="E467" s="3"/>
      <c r="F467" s="3"/>
      <c r="G467" s="3"/>
      <c r="H467" s="3"/>
      <c r="I467" s="3"/>
      <c r="J467" s="3"/>
    </row>
    <row r="468" spans="4:10" s="22" customFormat="1" x14ac:dyDescent="0.35">
      <c r="D468" s="3"/>
      <c r="E468" s="3"/>
      <c r="F468" s="3"/>
      <c r="G468" s="3"/>
      <c r="H468" s="3"/>
      <c r="I468" s="3"/>
      <c r="J468" s="3"/>
    </row>
    <row r="469" spans="4:10" s="22" customFormat="1" x14ac:dyDescent="0.35">
      <c r="D469" s="3"/>
      <c r="E469" s="3"/>
      <c r="F469" s="3"/>
      <c r="G469" s="3"/>
      <c r="H469" s="3"/>
      <c r="I469" s="3"/>
      <c r="J469" s="3"/>
    </row>
    <row r="470" spans="4:10" s="22" customFormat="1" x14ac:dyDescent="0.35">
      <c r="D470" s="3"/>
      <c r="E470" s="3"/>
      <c r="F470" s="3"/>
      <c r="G470" s="3"/>
      <c r="H470" s="3"/>
      <c r="I470" s="3"/>
      <c r="J470" s="3"/>
    </row>
    <row r="471" spans="4:10" s="22" customFormat="1" x14ac:dyDescent="0.35">
      <c r="D471" s="3"/>
      <c r="E471" s="3"/>
      <c r="F471" s="3"/>
      <c r="G471" s="3"/>
      <c r="H471" s="3"/>
      <c r="I471" s="3"/>
      <c r="J471" s="3"/>
    </row>
    <row r="472" spans="4:10" s="22" customFormat="1" x14ac:dyDescent="0.35">
      <c r="D472" s="3"/>
      <c r="E472" s="3"/>
      <c r="F472" s="3"/>
      <c r="G472" s="3"/>
      <c r="H472" s="3"/>
      <c r="I472" s="3"/>
      <c r="J472" s="3"/>
    </row>
    <row r="473" spans="4:10" s="22" customFormat="1" x14ac:dyDescent="0.35">
      <c r="D473" s="3"/>
      <c r="E473" s="3"/>
      <c r="F473" s="3"/>
      <c r="G473" s="3"/>
      <c r="H473" s="3"/>
      <c r="I473" s="3"/>
      <c r="J473" s="3"/>
    </row>
    <row r="474" spans="4:10" s="22" customFormat="1" x14ac:dyDescent="0.35">
      <c r="D474" s="3"/>
      <c r="E474" s="3"/>
      <c r="F474" s="3"/>
      <c r="G474" s="3"/>
      <c r="H474" s="3"/>
      <c r="I474" s="3"/>
      <c r="J474" s="3"/>
    </row>
    <row r="475" spans="4:10" s="22" customFormat="1" x14ac:dyDescent="0.35">
      <c r="D475" s="3"/>
      <c r="E475" s="3"/>
      <c r="F475" s="3"/>
      <c r="G475" s="3"/>
      <c r="H475" s="3"/>
      <c r="I475" s="3"/>
      <c r="J475" s="3"/>
    </row>
    <row r="476" spans="4:10" s="22" customFormat="1" x14ac:dyDescent="0.35">
      <c r="D476" s="3"/>
      <c r="E476" s="3"/>
      <c r="F476" s="3"/>
      <c r="G476" s="3"/>
      <c r="H476" s="3"/>
      <c r="I476" s="3"/>
      <c r="J476" s="3"/>
    </row>
    <row r="477" spans="4:10" s="22" customFormat="1" x14ac:dyDescent="0.35">
      <c r="D477" s="3"/>
      <c r="E477" s="3"/>
      <c r="F477" s="3"/>
      <c r="G477" s="3"/>
      <c r="H477" s="3"/>
      <c r="I477" s="3"/>
      <c r="J477" s="3"/>
    </row>
    <row r="478" spans="4:10" s="22" customFormat="1" x14ac:dyDescent="0.35">
      <c r="D478" s="3"/>
      <c r="E478" s="3"/>
      <c r="F478" s="3"/>
      <c r="G478" s="3"/>
      <c r="H478" s="3"/>
      <c r="I478" s="3"/>
      <c r="J478" s="3"/>
    </row>
    <row r="479" spans="4:10" s="22" customFormat="1" x14ac:dyDescent="0.35">
      <c r="D479" s="3"/>
      <c r="E479" s="3"/>
      <c r="F479" s="3"/>
      <c r="G479" s="3"/>
      <c r="H479" s="3"/>
      <c r="I479" s="3"/>
      <c r="J479" s="3"/>
    </row>
    <row r="480" spans="4:10" s="22" customFormat="1" x14ac:dyDescent="0.35">
      <c r="D480" s="3"/>
      <c r="E480" s="3"/>
      <c r="F480" s="3"/>
      <c r="G480" s="3"/>
      <c r="H480" s="3"/>
      <c r="I480" s="3"/>
      <c r="J480" s="3"/>
    </row>
    <row r="481" spans="4:10" s="22" customFormat="1" x14ac:dyDescent="0.35">
      <c r="D481" s="3"/>
      <c r="E481" s="3"/>
      <c r="F481" s="3"/>
      <c r="G481" s="3"/>
      <c r="H481" s="3"/>
      <c r="I481" s="3"/>
      <c r="J481" s="3"/>
    </row>
    <row r="482" spans="4:10" s="22" customFormat="1" x14ac:dyDescent="0.35">
      <c r="D482" s="3"/>
      <c r="E482" s="3"/>
      <c r="F482" s="3"/>
      <c r="G482" s="3"/>
      <c r="H482" s="3"/>
      <c r="I482" s="3"/>
      <c r="J482" s="3"/>
    </row>
    <row r="483" spans="4:10" s="22" customFormat="1" x14ac:dyDescent="0.35">
      <c r="D483" s="3"/>
      <c r="E483" s="3"/>
      <c r="F483" s="3"/>
      <c r="G483" s="3"/>
      <c r="H483" s="3"/>
      <c r="I483" s="3"/>
      <c r="J483" s="3"/>
    </row>
    <row r="484" spans="4:10" s="22" customFormat="1" x14ac:dyDescent="0.35">
      <c r="D484" s="3"/>
      <c r="E484" s="3"/>
      <c r="F484" s="3"/>
      <c r="G484" s="3"/>
      <c r="H484" s="3"/>
      <c r="I484" s="3"/>
      <c r="J484" s="3"/>
    </row>
    <row r="485" spans="4:10" s="22" customFormat="1" x14ac:dyDescent="0.35">
      <c r="D485" s="3"/>
      <c r="E485" s="3"/>
      <c r="F485" s="3"/>
      <c r="G485" s="3"/>
      <c r="H485" s="3"/>
      <c r="I485" s="3"/>
      <c r="J485" s="3"/>
    </row>
    <row r="486" spans="4:10" s="22" customFormat="1" x14ac:dyDescent="0.35">
      <c r="D486" s="3"/>
      <c r="E486" s="3"/>
      <c r="F486" s="3"/>
      <c r="G486" s="3"/>
      <c r="H486" s="3"/>
      <c r="I486" s="3"/>
      <c r="J486" s="3"/>
    </row>
    <row r="487" spans="4:10" s="22" customFormat="1" x14ac:dyDescent="0.35">
      <c r="D487" s="3"/>
      <c r="E487" s="3"/>
      <c r="F487" s="3"/>
      <c r="G487" s="3"/>
      <c r="H487" s="3"/>
      <c r="I487" s="3"/>
      <c r="J487" s="3"/>
    </row>
    <row r="488" spans="4:10" s="22" customFormat="1" x14ac:dyDescent="0.35">
      <c r="D488" s="3"/>
      <c r="E488" s="3"/>
      <c r="F488" s="3"/>
      <c r="G488" s="3"/>
      <c r="H488" s="3"/>
      <c r="I488" s="3"/>
      <c r="J488" s="3"/>
    </row>
    <row r="489" spans="4:10" s="22" customFormat="1" x14ac:dyDescent="0.35">
      <c r="D489" s="3"/>
      <c r="E489" s="3"/>
      <c r="F489" s="3"/>
      <c r="G489" s="3"/>
      <c r="H489" s="3"/>
      <c r="I489" s="3"/>
      <c r="J489" s="3"/>
    </row>
    <row r="490" spans="4:10" s="22" customFormat="1" x14ac:dyDescent="0.35">
      <c r="D490" s="3"/>
      <c r="E490" s="3"/>
      <c r="F490" s="3"/>
      <c r="G490" s="3"/>
      <c r="H490" s="3"/>
      <c r="I490" s="3"/>
      <c r="J490" s="3"/>
    </row>
    <row r="491" spans="4:10" s="22" customFormat="1" x14ac:dyDescent="0.35">
      <c r="D491" s="3"/>
      <c r="E491" s="3"/>
      <c r="F491" s="3"/>
      <c r="G491" s="3"/>
      <c r="H491" s="3"/>
      <c r="I491" s="3"/>
      <c r="J491" s="3"/>
    </row>
    <row r="492" spans="4:10" s="22" customFormat="1" x14ac:dyDescent="0.35">
      <c r="D492" s="3"/>
      <c r="E492" s="3"/>
      <c r="F492" s="3"/>
      <c r="G492" s="3"/>
      <c r="H492" s="3"/>
      <c r="I492" s="3"/>
      <c r="J492" s="3"/>
    </row>
    <row r="493" spans="4:10" s="22" customFormat="1" x14ac:dyDescent="0.35">
      <c r="D493" s="3"/>
      <c r="E493" s="3"/>
      <c r="F493" s="3"/>
      <c r="G493" s="3"/>
      <c r="H493" s="3"/>
      <c r="I493" s="3"/>
      <c r="J493" s="3"/>
    </row>
    <row r="494" spans="4:10" s="22" customFormat="1" x14ac:dyDescent="0.35">
      <c r="D494" s="3"/>
      <c r="E494" s="3"/>
      <c r="F494" s="3"/>
      <c r="G494" s="3"/>
      <c r="H494" s="3"/>
      <c r="I494" s="3"/>
      <c r="J494" s="3"/>
    </row>
    <row r="495" spans="4:10" s="22" customFormat="1" x14ac:dyDescent="0.35">
      <c r="D495" s="3"/>
      <c r="E495" s="3"/>
      <c r="F495" s="3"/>
      <c r="G495" s="3"/>
      <c r="H495" s="3"/>
      <c r="I495" s="3"/>
      <c r="J495" s="3"/>
    </row>
    <row r="496" spans="4:10" s="22" customFormat="1" x14ac:dyDescent="0.35">
      <c r="D496" s="3"/>
      <c r="E496" s="3"/>
      <c r="F496" s="3"/>
      <c r="G496" s="3"/>
      <c r="H496" s="3"/>
      <c r="I496" s="3"/>
      <c r="J496" s="3"/>
    </row>
    <row r="497" spans="4:10" s="22" customFormat="1" x14ac:dyDescent="0.35">
      <c r="D497" s="3"/>
      <c r="E497" s="3"/>
      <c r="F497" s="3"/>
      <c r="G497" s="3"/>
      <c r="H497" s="3"/>
      <c r="I497" s="3"/>
      <c r="J497" s="3"/>
    </row>
    <row r="498" spans="4:10" s="22" customFormat="1" x14ac:dyDescent="0.35">
      <c r="D498" s="3"/>
      <c r="E498" s="3"/>
      <c r="F498" s="3"/>
      <c r="G498" s="3"/>
      <c r="H498" s="3"/>
      <c r="I498" s="3"/>
      <c r="J498" s="3"/>
    </row>
    <row r="499" spans="4:10" s="22" customFormat="1" x14ac:dyDescent="0.35">
      <c r="D499" s="3"/>
      <c r="E499" s="3"/>
      <c r="F499" s="3"/>
      <c r="G499" s="3"/>
      <c r="H499" s="3"/>
      <c r="I499" s="3"/>
      <c r="J499" s="3"/>
    </row>
    <row r="500" spans="4:10" s="22" customFormat="1" x14ac:dyDescent="0.35">
      <c r="D500" s="3"/>
      <c r="E500" s="3"/>
      <c r="F500" s="3"/>
      <c r="G500" s="3"/>
      <c r="H500" s="3"/>
      <c r="I500" s="3"/>
      <c r="J500" s="3"/>
    </row>
    <row r="501" spans="4:10" s="22" customFormat="1" x14ac:dyDescent="0.35">
      <c r="D501" s="3"/>
      <c r="E501" s="3"/>
      <c r="F501" s="3"/>
      <c r="G501" s="3"/>
      <c r="H501" s="3"/>
      <c r="I501" s="3"/>
      <c r="J501" s="3"/>
    </row>
    <row r="502" spans="4:10" s="22" customFormat="1" x14ac:dyDescent="0.35">
      <c r="D502" s="3"/>
      <c r="E502" s="3"/>
      <c r="F502" s="3"/>
      <c r="G502" s="3"/>
      <c r="H502" s="3"/>
      <c r="I502" s="3"/>
      <c r="J502" s="3"/>
    </row>
    <row r="503" spans="4:10" s="22" customFormat="1" x14ac:dyDescent="0.35">
      <c r="D503" s="3"/>
      <c r="E503" s="3"/>
      <c r="F503" s="3"/>
      <c r="G503" s="3"/>
      <c r="H503" s="3"/>
      <c r="I503" s="3"/>
      <c r="J503" s="3"/>
    </row>
    <row r="504" spans="4:10" s="22" customFormat="1" x14ac:dyDescent="0.35">
      <c r="D504" s="3"/>
      <c r="E504" s="3"/>
      <c r="F504" s="3"/>
      <c r="G504" s="3"/>
      <c r="H504" s="3"/>
      <c r="I504" s="3"/>
      <c r="J504" s="3"/>
    </row>
    <row r="505" spans="4:10" s="22" customFormat="1" x14ac:dyDescent="0.35">
      <c r="D505" s="3"/>
      <c r="E505" s="3"/>
      <c r="F505" s="3"/>
      <c r="G505" s="3"/>
      <c r="H505" s="3"/>
      <c r="I505" s="3"/>
      <c r="J505" s="3"/>
    </row>
    <row r="506" spans="4:10" s="22" customFormat="1" x14ac:dyDescent="0.35">
      <c r="D506" s="3"/>
      <c r="E506" s="3"/>
      <c r="F506" s="3"/>
      <c r="G506" s="3"/>
      <c r="H506" s="3"/>
      <c r="I506" s="3"/>
      <c r="J506" s="3"/>
    </row>
    <row r="507" spans="4:10" s="22" customFormat="1" x14ac:dyDescent="0.35">
      <c r="D507" s="3"/>
      <c r="E507" s="3"/>
      <c r="F507" s="3"/>
      <c r="G507" s="3"/>
      <c r="H507" s="3"/>
      <c r="I507" s="3"/>
      <c r="J507" s="3"/>
    </row>
    <row r="508" spans="4:10" s="22" customFormat="1" x14ac:dyDescent="0.35">
      <c r="D508" s="3"/>
      <c r="E508" s="3"/>
      <c r="F508" s="3"/>
      <c r="G508" s="3"/>
      <c r="H508" s="3"/>
      <c r="I508" s="3"/>
      <c r="J508" s="3"/>
    </row>
    <row r="509" spans="4:10" s="22" customFormat="1" x14ac:dyDescent="0.35">
      <c r="D509" s="3"/>
      <c r="E509" s="3"/>
      <c r="F509" s="3"/>
      <c r="G509" s="3"/>
      <c r="H509" s="3"/>
      <c r="I509" s="3"/>
      <c r="J509" s="3"/>
    </row>
    <row r="510" spans="4:10" s="22" customFormat="1" x14ac:dyDescent="0.35">
      <c r="D510" s="3"/>
      <c r="E510" s="3"/>
      <c r="F510" s="3"/>
      <c r="G510" s="3"/>
      <c r="H510" s="3"/>
      <c r="I510" s="3"/>
      <c r="J510" s="3"/>
    </row>
    <row r="511" spans="4:10" s="22" customFormat="1" x14ac:dyDescent="0.35">
      <c r="D511" s="3"/>
      <c r="E511" s="3"/>
      <c r="F511" s="3"/>
      <c r="G511" s="3"/>
      <c r="H511" s="3"/>
      <c r="I511" s="3"/>
      <c r="J511" s="3"/>
    </row>
    <row r="512" spans="4:10" s="22" customFormat="1" x14ac:dyDescent="0.35">
      <c r="D512" s="3"/>
      <c r="E512" s="3"/>
      <c r="F512" s="3"/>
      <c r="G512" s="3"/>
      <c r="H512" s="3"/>
      <c r="I512" s="3"/>
      <c r="J512" s="3"/>
    </row>
    <row r="513" spans="4:10" s="22" customFormat="1" x14ac:dyDescent="0.35">
      <c r="D513" s="3"/>
      <c r="E513" s="3"/>
      <c r="F513" s="3"/>
      <c r="G513" s="3"/>
      <c r="H513" s="3"/>
      <c r="I513" s="3"/>
      <c r="J513" s="3"/>
    </row>
    <row r="514" spans="4:10" s="22" customFormat="1" x14ac:dyDescent="0.35">
      <c r="D514" s="3"/>
      <c r="E514" s="3"/>
      <c r="F514" s="3"/>
      <c r="G514" s="3"/>
      <c r="H514" s="3"/>
      <c r="I514" s="3"/>
      <c r="J514" s="3"/>
    </row>
    <row r="515" spans="4:10" s="22" customFormat="1" x14ac:dyDescent="0.35">
      <c r="D515" s="3"/>
      <c r="E515" s="3"/>
      <c r="F515" s="3"/>
      <c r="G515" s="3"/>
      <c r="H515" s="3"/>
      <c r="I515" s="3"/>
      <c r="J515" s="3"/>
    </row>
    <row r="516" spans="4:10" s="22" customFormat="1" x14ac:dyDescent="0.35">
      <c r="D516" s="3"/>
      <c r="E516" s="3"/>
      <c r="F516" s="3"/>
      <c r="G516" s="3"/>
      <c r="H516" s="3"/>
      <c r="I516" s="3"/>
      <c r="J516" s="3"/>
    </row>
    <row r="517" spans="4:10" s="22" customFormat="1" x14ac:dyDescent="0.35">
      <c r="D517" s="3"/>
      <c r="E517" s="3"/>
      <c r="F517" s="3"/>
      <c r="G517" s="3"/>
      <c r="H517" s="3"/>
      <c r="I517" s="3"/>
      <c r="J517" s="3"/>
    </row>
    <row r="518" spans="4:10" s="22" customFormat="1" x14ac:dyDescent="0.35">
      <c r="D518" s="3"/>
      <c r="E518" s="3"/>
      <c r="F518" s="3"/>
      <c r="G518" s="3"/>
      <c r="H518" s="3"/>
      <c r="I518" s="3"/>
      <c r="J518" s="3"/>
    </row>
    <row r="519" spans="4:10" s="22" customFormat="1" x14ac:dyDescent="0.35">
      <c r="D519" s="3"/>
      <c r="E519" s="3"/>
      <c r="F519" s="3"/>
      <c r="G519" s="3"/>
      <c r="H519" s="3"/>
      <c r="I519" s="3"/>
      <c r="J519" s="3"/>
    </row>
    <row r="520" spans="4:10" s="22" customFormat="1" x14ac:dyDescent="0.35">
      <c r="D520" s="3"/>
      <c r="E520" s="3"/>
      <c r="F520" s="3"/>
      <c r="G520" s="3"/>
      <c r="H520" s="3"/>
      <c r="I520" s="3"/>
      <c r="J520" s="3"/>
    </row>
    <row r="521" spans="4:10" s="22" customFormat="1" x14ac:dyDescent="0.35">
      <c r="D521" s="3"/>
      <c r="E521" s="3"/>
      <c r="F521" s="3"/>
      <c r="G521" s="3"/>
      <c r="H521" s="3"/>
      <c r="I521" s="3"/>
      <c r="J521" s="3"/>
    </row>
    <row r="522" spans="4:10" s="22" customFormat="1" x14ac:dyDescent="0.35">
      <c r="D522" s="3"/>
      <c r="E522" s="3"/>
      <c r="F522" s="3"/>
      <c r="G522" s="3"/>
      <c r="H522" s="3"/>
      <c r="I522" s="3"/>
      <c r="J522" s="3"/>
    </row>
    <row r="523" spans="4:10" s="22" customFormat="1" x14ac:dyDescent="0.35">
      <c r="D523" s="3"/>
      <c r="E523" s="3"/>
      <c r="F523" s="3"/>
      <c r="G523" s="3"/>
      <c r="H523" s="3"/>
      <c r="I523" s="3"/>
      <c r="J523" s="3"/>
    </row>
    <row r="524" spans="4:10" s="22" customFormat="1" x14ac:dyDescent="0.35">
      <c r="D524" s="3"/>
      <c r="E524" s="3"/>
      <c r="F524" s="3"/>
      <c r="G524" s="3"/>
      <c r="H524" s="3"/>
      <c r="I524" s="3"/>
      <c r="J524" s="3"/>
    </row>
    <row r="525" spans="4:10" s="22" customFormat="1" x14ac:dyDescent="0.35">
      <c r="D525" s="3"/>
      <c r="E525" s="3"/>
      <c r="F525" s="3"/>
      <c r="G525" s="3"/>
      <c r="H525" s="3"/>
      <c r="I525" s="3"/>
      <c r="J525" s="3"/>
    </row>
    <row r="526" spans="4:10" s="22" customFormat="1" x14ac:dyDescent="0.35">
      <c r="D526" s="3"/>
      <c r="E526" s="3"/>
      <c r="F526" s="3"/>
      <c r="G526" s="3"/>
      <c r="H526" s="3"/>
      <c r="I526" s="3"/>
      <c r="J526" s="3"/>
    </row>
    <row r="527" spans="4:10" s="22" customFormat="1" x14ac:dyDescent="0.35">
      <c r="D527" s="3"/>
      <c r="E527" s="3"/>
      <c r="F527" s="3"/>
      <c r="G527" s="3"/>
      <c r="H527" s="3"/>
      <c r="I527" s="3"/>
      <c r="J527" s="3"/>
    </row>
    <row r="528" spans="4:10" s="22" customFormat="1" x14ac:dyDescent="0.35">
      <c r="D528" s="3"/>
      <c r="E528" s="3"/>
      <c r="F528" s="3"/>
      <c r="G528" s="3"/>
      <c r="H528" s="3"/>
      <c r="I528" s="3"/>
      <c r="J528" s="3"/>
    </row>
    <row r="529" spans="4:10" s="22" customFormat="1" x14ac:dyDescent="0.35">
      <c r="D529" s="3"/>
      <c r="E529" s="3"/>
      <c r="F529" s="3"/>
      <c r="G529" s="3"/>
      <c r="H529" s="3"/>
      <c r="I529" s="3"/>
      <c r="J529" s="3"/>
    </row>
    <row r="530" spans="4:10" s="22" customFormat="1" x14ac:dyDescent="0.35">
      <c r="D530" s="3"/>
      <c r="E530" s="3"/>
      <c r="F530" s="3"/>
      <c r="G530" s="3"/>
      <c r="H530" s="3"/>
      <c r="I530" s="3"/>
      <c r="J530" s="3"/>
    </row>
    <row r="531" spans="4:10" s="22" customFormat="1" x14ac:dyDescent="0.35">
      <c r="D531" s="3"/>
      <c r="E531" s="3"/>
      <c r="F531" s="3"/>
      <c r="G531" s="3"/>
      <c r="H531" s="3"/>
      <c r="I531" s="3"/>
      <c r="J531" s="3"/>
    </row>
    <row r="532" spans="4:10" s="22" customFormat="1" x14ac:dyDescent="0.35">
      <c r="D532" s="3"/>
      <c r="E532" s="3"/>
      <c r="F532" s="3"/>
      <c r="G532" s="3"/>
      <c r="H532" s="3"/>
      <c r="I532" s="3"/>
      <c r="J532" s="3"/>
    </row>
    <row r="533" spans="4:10" s="22" customFormat="1" x14ac:dyDescent="0.35">
      <c r="D533" s="3"/>
      <c r="E533" s="3"/>
      <c r="F533" s="3"/>
      <c r="G533" s="3"/>
      <c r="H533" s="3"/>
      <c r="I533" s="3"/>
      <c r="J533" s="3"/>
    </row>
    <row r="534" spans="4:10" s="22" customFormat="1" x14ac:dyDescent="0.35">
      <c r="D534" s="3"/>
      <c r="E534" s="3"/>
      <c r="F534" s="3"/>
      <c r="G534" s="3"/>
      <c r="H534" s="3"/>
      <c r="I534" s="3"/>
      <c r="J534" s="3"/>
    </row>
    <row r="535" spans="4:10" s="22" customFormat="1" x14ac:dyDescent="0.35">
      <c r="D535" s="3"/>
      <c r="E535" s="3"/>
      <c r="F535" s="3"/>
      <c r="G535" s="3"/>
      <c r="H535" s="3"/>
      <c r="I535" s="3"/>
      <c r="J535" s="3"/>
    </row>
    <row r="536" spans="4:10" s="22" customFormat="1" x14ac:dyDescent="0.35">
      <c r="D536" s="3"/>
      <c r="E536" s="3"/>
      <c r="F536" s="3"/>
      <c r="G536" s="3"/>
      <c r="H536" s="3"/>
      <c r="I536" s="3"/>
      <c r="J536" s="3"/>
    </row>
    <row r="537" spans="4:10" s="22" customFormat="1" x14ac:dyDescent="0.35">
      <c r="D537" s="3"/>
      <c r="E537" s="3"/>
      <c r="F537" s="3"/>
      <c r="G537" s="3"/>
      <c r="H537" s="3"/>
      <c r="I537" s="3"/>
      <c r="J537" s="3"/>
    </row>
    <row r="538" spans="4:10" s="22" customFormat="1" x14ac:dyDescent="0.35">
      <c r="D538" s="3"/>
      <c r="E538" s="3"/>
      <c r="F538" s="3"/>
      <c r="G538" s="3"/>
      <c r="H538" s="3"/>
      <c r="I538" s="3"/>
      <c r="J538" s="3"/>
    </row>
    <row r="539" spans="4:10" s="22" customFormat="1" x14ac:dyDescent="0.35">
      <c r="D539" s="3"/>
      <c r="E539" s="3"/>
      <c r="F539" s="3"/>
      <c r="G539" s="3"/>
      <c r="H539" s="3"/>
      <c r="I539" s="3"/>
      <c r="J539" s="3"/>
    </row>
    <row r="540" spans="4:10" s="22" customFormat="1" x14ac:dyDescent="0.35">
      <c r="D540" s="3"/>
      <c r="E540" s="3"/>
      <c r="F540" s="3"/>
      <c r="G540" s="3"/>
      <c r="H540" s="3"/>
      <c r="I540" s="3"/>
      <c r="J540" s="3"/>
    </row>
    <row r="541" spans="4:10" s="22" customFormat="1" x14ac:dyDescent="0.35">
      <c r="D541" s="3"/>
      <c r="E541" s="3"/>
      <c r="F541" s="3"/>
      <c r="G541" s="3"/>
      <c r="H541" s="3"/>
      <c r="I541" s="3"/>
      <c r="J541" s="3"/>
    </row>
    <row r="542" spans="4:10" s="22" customFormat="1" x14ac:dyDescent="0.35">
      <c r="D542" s="3"/>
      <c r="E542" s="3"/>
      <c r="F542" s="3"/>
      <c r="G542" s="3"/>
      <c r="H542" s="3"/>
      <c r="I542" s="3"/>
      <c r="J542" s="3"/>
    </row>
    <row r="543" spans="4:10" s="22" customFormat="1" x14ac:dyDescent="0.35">
      <c r="D543" s="3"/>
      <c r="E543" s="3"/>
      <c r="F543" s="3"/>
      <c r="G543" s="3"/>
      <c r="H543" s="3"/>
      <c r="I543" s="3"/>
      <c r="J543" s="3"/>
    </row>
    <row r="544" spans="4:10" s="22" customFormat="1" x14ac:dyDescent="0.35">
      <c r="D544" s="3"/>
      <c r="E544" s="3"/>
      <c r="F544" s="3"/>
      <c r="G544" s="3"/>
      <c r="H544" s="3"/>
      <c r="I544" s="3"/>
      <c r="J544" s="3"/>
    </row>
    <row r="545" spans="4:10" s="22" customFormat="1" x14ac:dyDescent="0.35">
      <c r="D545" s="3"/>
      <c r="E545" s="3"/>
      <c r="F545" s="3"/>
      <c r="G545" s="3"/>
      <c r="H545" s="3"/>
      <c r="I545" s="3"/>
      <c r="J545" s="3"/>
    </row>
    <row r="546" spans="4:10" s="22" customFormat="1" x14ac:dyDescent="0.35">
      <c r="D546" s="3"/>
      <c r="E546" s="3"/>
      <c r="F546" s="3"/>
      <c r="G546" s="3"/>
      <c r="H546" s="3"/>
      <c r="I546" s="3"/>
      <c r="J546" s="3"/>
    </row>
    <row r="547" spans="4:10" s="22" customFormat="1" x14ac:dyDescent="0.35">
      <c r="D547" s="3"/>
      <c r="E547" s="3"/>
      <c r="F547" s="3"/>
      <c r="G547" s="3"/>
      <c r="H547" s="3"/>
      <c r="I547" s="3"/>
      <c r="J547" s="3"/>
    </row>
    <row r="548" spans="4:10" s="22" customFormat="1" x14ac:dyDescent="0.35">
      <c r="D548" s="3"/>
      <c r="E548" s="3"/>
      <c r="F548" s="3"/>
      <c r="G548" s="3"/>
      <c r="H548" s="3"/>
      <c r="I548" s="3"/>
      <c r="J548" s="3"/>
    </row>
    <row r="549" spans="4:10" s="22" customFormat="1" x14ac:dyDescent="0.35">
      <c r="D549" s="3"/>
      <c r="E549" s="3"/>
      <c r="F549" s="3"/>
      <c r="G549" s="3"/>
      <c r="H549" s="3"/>
      <c r="I549" s="3"/>
      <c r="J549" s="3"/>
    </row>
    <row r="550" spans="4:10" s="22" customFormat="1" x14ac:dyDescent="0.35">
      <c r="D550" s="3"/>
      <c r="E550" s="3"/>
      <c r="F550" s="3"/>
      <c r="G550" s="3"/>
      <c r="H550" s="3"/>
      <c r="I550" s="3"/>
      <c r="J550" s="3"/>
    </row>
    <row r="551" spans="4:10" s="22" customFormat="1" x14ac:dyDescent="0.35">
      <c r="D551" s="3"/>
      <c r="E551" s="3"/>
      <c r="F551" s="3"/>
      <c r="G551" s="3"/>
      <c r="H551" s="3"/>
      <c r="I551" s="3"/>
      <c r="J551" s="3"/>
    </row>
    <row r="552" spans="4:10" s="22" customFormat="1" x14ac:dyDescent="0.35">
      <c r="D552" s="3"/>
      <c r="E552" s="3"/>
      <c r="F552" s="3"/>
      <c r="G552" s="3"/>
      <c r="H552" s="3"/>
      <c r="I552" s="3"/>
      <c r="J552" s="3"/>
    </row>
    <row r="553" spans="4:10" s="22" customFormat="1" x14ac:dyDescent="0.35">
      <c r="D553" s="3"/>
      <c r="E553" s="3"/>
      <c r="F553" s="3"/>
      <c r="G553" s="3"/>
      <c r="H553" s="3"/>
      <c r="I553" s="3"/>
      <c r="J553" s="3"/>
    </row>
    <row r="554" spans="4:10" s="22" customFormat="1" x14ac:dyDescent="0.35">
      <c r="D554" s="3"/>
      <c r="E554" s="3"/>
      <c r="F554" s="3"/>
      <c r="G554" s="3"/>
      <c r="H554" s="3"/>
      <c r="I554" s="3"/>
      <c r="J554" s="3"/>
    </row>
    <row r="555" spans="4:10" s="22" customFormat="1" x14ac:dyDescent="0.35">
      <c r="D555" s="3"/>
      <c r="E555" s="3"/>
      <c r="F555" s="3"/>
      <c r="G555" s="3"/>
      <c r="H555" s="3"/>
      <c r="I555" s="3"/>
      <c r="J555" s="3"/>
    </row>
    <row r="556" spans="4:10" s="22" customFormat="1" x14ac:dyDescent="0.35">
      <c r="D556" s="3"/>
      <c r="E556" s="3"/>
      <c r="F556" s="3"/>
      <c r="G556" s="3"/>
      <c r="H556" s="3"/>
      <c r="I556" s="3"/>
      <c r="J556" s="3"/>
    </row>
    <row r="557" spans="4:10" s="22" customFormat="1" x14ac:dyDescent="0.35">
      <c r="D557" s="3"/>
      <c r="E557" s="3"/>
      <c r="F557" s="3"/>
      <c r="G557" s="3"/>
      <c r="H557" s="3"/>
      <c r="I557" s="3"/>
      <c r="J557" s="3"/>
    </row>
    <row r="558" spans="4:10" s="22" customFormat="1" x14ac:dyDescent="0.35">
      <c r="D558" s="3"/>
      <c r="E558" s="3"/>
      <c r="F558" s="3"/>
      <c r="G558" s="3"/>
      <c r="H558" s="3"/>
      <c r="I558" s="3"/>
      <c r="J558" s="3"/>
    </row>
    <row r="559" spans="4:10" s="22" customFormat="1" x14ac:dyDescent="0.35">
      <c r="D559" s="3"/>
      <c r="E559" s="3"/>
      <c r="F559" s="3"/>
      <c r="G559" s="3"/>
      <c r="H559" s="3"/>
      <c r="I559" s="3"/>
      <c r="J559" s="3"/>
    </row>
    <row r="560" spans="4:10" s="22" customFormat="1" x14ac:dyDescent="0.35">
      <c r="D560" s="3"/>
      <c r="E560" s="3"/>
      <c r="F560" s="3"/>
      <c r="G560" s="3"/>
      <c r="H560" s="3"/>
      <c r="I560" s="3"/>
      <c r="J560" s="3"/>
    </row>
    <row r="561" spans="4:10" s="22" customFormat="1" x14ac:dyDescent="0.35">
      <c r="D561" s="3"/>
      <c r="E561" s="3"/>
      <c r="F561" s="3"/>
      <c r="G561" s="3"/>
      <c r="H561" s="3"/>
      <c r="I561" s="3"/>
      <c r="J561" s="3"/>
    </row>
    <row r="562" spans="4:10" s="22" customFormat="1" x14ac:dyDescent="0.35">
      <c r="D562" s="3"/>
      <c r="E562" s="3"/>
      <c r="F562" s="3"/>
      <c r="G562" s="3"/>
      <c r="H562" s="3"/>
      <c r="I562" s="3"/>
      <c r="J562" s="3"/>
    </row>
    <row r="563" spans="4:10" s="22" customFormat="1" x14ac:dyDescent="0.35">
      <c r="D563" s="3"/>
      <c r="E563" s="3"/>
      <c r="F563" s="3"/>
      <c r="G563" s="3"/>
      <c r="H563" s="3"/>
      <c r="I563" s="3"/>
      <c r="J563" s="3"/>
    </row>
    <row r="564" spans="4:10" s="22" customFormat="1" x14ac:dyDescent="0.35">
      <c r="D564" s="3"/>
      <c r="E564" s="3"/>
      <c r="F564" s="3"/>
      <c r="G564" s="3"/>
      <c r="H564" s="3"/>
      <c r="I564" s="3"/>
      <c r="J564" s="3"/>
    </row>
    <row r="565" spans="4:10" s="22" customFormat="1" x14ac:dyDescent="0.35">
      <c r="D565" s="3"/>
      <c r="E565" s="3"/>
      <c r="F565" s="3"/>
      <c r="G565" s="3"/>
      <c r="H565" s="3"/>
      <c r="I565" s="3"/>
      <c r="J565" s="3"/>
    </row>
    <row r="566" spans="4:10" s="22" customFormat="1" x14ac:dyDescent="0.35">
      <c r="D566" s="3"/>
      <c r="E566" s="3"/>
      <c r="F566" s="3"/>
      <c r="G566" s="3"/>
      <c r="H566" s="3"/>
      <c r="I566" s="3"/>
      <c r="J566" s="3"/>
    </row>
    <row r="567" spans="4:10" s="22" customFormat="1" x14ac:dyDescent="0.35">
      <c r="D567" s="3"/>
      <c r="E567" s="3"/>
      <c r="F567" s="3"/>
      <c r="G567" s="3"/>
      <c r="H567" s="3"/>
      <c r="I567" s="3"/>
      <c r="J567" s="3"/>
    </row>
    <row r="568" spans="4:10" s="22" customFormat="1" x14ac:dyDescent="0.35">
      <c r="D568" s="3"/>
      <c r="E568" s="3"/>
      <c r="F568" s="3"/>
      <c r="G568" s="3"/>
      <c r="H568" s="3"/>
      <c r="I568" s="3"/>
      <c r="J568" s="3"/>
    </row>
    <row r="569" spans="4:10" s="22" customFormat="1" x14ac:dyDescent="0.35">
      <c r="D569" s="3"/>
      <c r="E569" s="3"/>
      <c r="F569" s="3"/>
      <c r="G569" s="3"/>
      <c r="H569" s="3"/>
      <c r="I569" s="3"/>
      <c r="J569" s="3"/>
    </row>
    <row r="570" spans="4:10" s="22" customFormat="1" x14ac:dyDescent="0.35">
      <c r="D570" s="3"/>
      <c r="E570" s="3"/>
      <c r="F570" s="3"/>
      <c r="G570" s="3"/>
      <c r="H570" s="3"/>
      <c r="I570" s="3"/>
      <c r="J570" s="3"/>
    </row>
    <row r="571" spans="4:10" s="22" customFormat="1" x14ac:dyDescent="0.35">
      <c r="D571" s="3"/>
      <c r="E571" s="3"/>
      <c r="F571" s="3"/>
      <c r="G571" s="3"/>
      <c r="H571" s="3"/>
      <c r="I571" s="3"/>
      <c r="J571" s="3"/>
    </row>
    <row r="572" spans="4:10" s="22" customFormat="1" x14ac:dyDescent="0.35">
      <c r="D572" s="3"/>
      <c r="E572" s="3"/>
      <c r="F572" s="3"/>
      <c r="G572" s="3"/>
      <c r="H572" s="3"/>
      <c r="I572" s="3"/>
      <c r="J572" s="3"/>
    </row>
    <row r="573" spans="4:10" s="22" customFormat="1" x14ac:dyDescent="0.35">
      <c r="D573" s="3"/>
      <c r="E573" s="3"/>
      <c r="F573" s="3"/>
      <c r="G573" s="3"/>
      <c r="H573" s="3"/>
      <c r="I573" s="3"/>
      <c r="J573" s="3"/>
    </row>
    <row r="574" spans="4:10" s="22" customFormat="1" x14ac:dyDescent="0.35">
      <c r="D574" s="3"/>
      <c r="E574" s="3"/>
      <c r="F574" s="3"/>
      <c r="G574" s="3"/>
      <c r="H574" s="3"/>
      <c r="I574" s="3"/>
      <c r="J574" s="3"/>
    </row>
    <row r="575" spans="4:10" s="22" customFormat="1" x14ac:dyDescent="0.35">
      <c r="D575" s="3"/>
      <c r="E575" s="3"/>
      <c r="F575" s="3"/>
      <c r="G575" s="3"/>
      <c r="H575" s="3"/>
      <c r="I575" s="3"/>
      <c r="J575" s="3"/>
    </row>
    <row r="576" spans="4:10" s="22" customFormat="1" x14ac:dyDescent="0.35">
      <c r="D576" s="3"/>
      <c r="E576" s="3"/>
      <c r="F576" s="3"/>
      <c r="G576" s="3"/>
      <c r="H576" s="3"/>
      <c r="I576" s="3"/>
      <c r="J576" s="3"/>
    </row>
    <row r="577" spans="4:10" s="22" customFormat="1" x14ac:dyDescent="0.35">
      <c r="D577" s="3"/>
      <c r="E577" s="3"/>
      <c r="F577" s="3"/>
      <c r="G577" s="3"/>
      <c r="H577" s="3"/>
      <c r="I577" s="3"/>
      <c r="J577" s="3"/>
    </row>
    <row r="578" spans="4:10" s="22" customFormat="1" x14ac:dyDescent="0.35">
      <c r="D578" s="3"/>
      <c r="E578" s="3"/>
      <c r="F578" s="3"/>
      <c r="G578" s="3"/>
      <c r="H578" s="3"/>
      <c r="I578" s="3"/>
      <c r="J578" s="3"/>
    </row>
    <row r="579" spans="4:10" s="22" customFormat="1" x14ac:dyDescent="0.35">
      <c r="D579" s="3"/>
      <c r="E579" s="3"/>
      <c r="F579" s="3"/>
      <c r="G579" s="3"/>
      <c r="H579" s="3"/>
      <c r="I579" s="3"/>
      <c r="J579" s="3"/>
    </row>
    <row r="580" spans="4:10" s="22" customFormat="1" x14ac:dyDescent="0.35">
      <c r="D580" s="3"/>
      <c r="E580" s="3"/>
      <c r="F580" s="3"/>
      <c r="G580" s="3"/>
      <c r="H580" s="3"/>
      <c r="I580" s="3"/>
      <c r="J580" s="3"/>
    </row>
    <row r="581" spans="4:10" s="22" customFormat="1" x14ac:dyDescent="0.35">
      <c r="D581" s="3"/>
      <c r="E581" s="3"/>
      <c r="F581" s="3"/>
      <c r="G581" s="3"/>
      <c r="H581" s="3"/>
      <c r="I581" s="3"/>
      <c r="J581" s="3"/>
    </row>
    <row r="582" spans="4:10" s="22" customFormat="1" x14ac:dyDescent="0.35">
      <c r="D582" s="3"/>
      <c r="E582" s="3"/>
      <c r="F582" s="3"/>
      <c r="G582" s="3"/>
      <c r="H582" s="3"/>
      <c r="I582" s="3"/>
      <c r="J582" s="3"/>
    </row>
    <row r="583" spans="4:10" s="22" customFormat="1" x14ac:dyDescent="0.35">
      <c r="D583" s="3"/>
      <c r="E583" s="3"/>
      <c r="F583" s="3"/>
      <c r="G583" s="3"/>
      <c r="H583" s="3"/>
      <c r="I583" s="3"/>
      <c r="J583" s="3"/>
    </row>
    <row r="584" spans="4:10" s="22" customFormat="1" x14ac:dyDescent="0.35">
      <c r="D584" s="3"/>
      <c r="E584" s="3"/>
      <c r="F584" s="3"/>
      <c r="G584" s="3"/>
      <c r="H584" s="3"/>
      <c r="I584" s="3"/>
      <c r="J584" s="3"/>
    </row>
    <row r="585" spans="4:10" s="22" customFormat="1" x14ac:dyDescent="0.35">
      <c r="D585" s="3"/>
      <c r="E585" s="3"/>
      <c r="F585" s="3"/>
      <c r="G585" s="3"/>
      <c r="H585" s="3"/>
      <c r="I585" s="3"/>
      <c r="J585" s="3"/>
    </row>
    <row r="586" spans="4:10" s="22" customFormat="1" x14ac:dyDescent="0.35">
      <c r="D586" s="3"/>
      <c r="E586" s="3"/>
      <c r="F586" s="3"/>
      <c r="G586" s="3"/>
      <c r="H586" s="3"/>
      <c r="I586" s="3"/>
      <c r="J586" s="3"/>
    </row>
    <row r="587" spans="4:10" s="22" customFormat="1" x14ac:dyDescent="0.35">
      <c r="D587" s="3"/>
      <c r="E587" s="3"/>
      <c r="F587" s="3"/>
      <c r="G587" s="3"/>
      <c r="H587" s="3"/>
      <c r="I587" s="3"/>
      <c r="J587" s="3"/>
    </row>
    <row r="588" spans="4:10" s="22" customFormat="1" x14ac:dyDescent="0.35">
      <c r="D588" s="3"/>
      <c r="E588" s="3"/>
      <c r="F588" s="3"/>
      <c r="G588" s="3"/>
      <c r="H588" s="3"/>
      <c r="I588" s="3"/>
      <c r="J588" s="3"/>
    </row>
    <row r="589" spans="4:10" s="22" customFormat="1" x14ac:dyDescent="0.35">
      <c r="D589" s="3"/>
      <c r="E589" s="3"/>
      <c r="F589" s="3"/>
      <c r="G589" s="3"/>
      <c r="H589" s="3"/>
      <c r="I589" s="3"/>
      <c r="J589" s="3"/>
    </row>
    <row r="590" spans="4:10" s="22" customFormat="1" x14ac:dyDescent="0.35">
      <c r="D590" s="3"/>
      <c r="E590" s="3"/>
      <c r="F590" s="3"/>
      <c r="G590" s="3"/>
      <c r="H590" s="3"/>
      <c r="I590" s="3"/>
      <c r="J590" s="3"/>
    </row>
    <row r="591" spans="4:10" s="22" customFormat="1" x14ac:dyDescent="0.35">
      <c r="D591" s="3"/>
      <c r="E591" s="3"/>
      <c r="F591" s="3"/>
      <c r="G591" s="3"/>
      <c r="H591" s="3"/>
      <c r="I591" s="3"/>
      <c r="J591" s="3"/>
    </row>
    <row r="592" spans="4:10" s="22" customFormat="1" x14ac:dyDescent="0.35">
      <c r="D592" s="3"/>
      <c r="E592" s="3"/>
      <c r="F592" s="3"/>
      <c r="G592" s="3"/>
      <c r="H592" s="3"/>
      <c r="I592" s="3"/>
      <c r="J592" s="3"/>
    </row>
    <row r="593" spans="4:10" s="22" customFormat="1" x14ac:dyDescent="0.35">
      <c r="D593" s="3"/>
      <c r="E593" s="3"/>
      <c r="F593" s="3"/>
      <c r="G593" s="3"/>
      <c r="H593" s="3"/>
      <c r="I593" s="3"/>
      <c r="J593" s="3"/>
    </row>
    <row r="594" spans="4:10" s="22" customFormat="1" x14ac:dyDescent="0.35">
      <c r="D594" s="3"/>
      <c r="E594" s="3"/>
      <c r="F594" s="3"/>
      <c r="G594" s="3"/>
      <c r="H594" s="3"/>
      <c r="I594" s="3"/>
      <c r="J594" s="3"/>
    </row>
    <row r="595" spans="4:10" s="22" customFormat="1" x14ac:dyDescent="0.35">
      <c r="D595" s="3"/>
      <c r="E595" s="3"/>
      <c r="F595" s="3"/>
      <c r="G595" s="3"/>
      <c r="H595" s="3"/>
      <c r="I595" s="3"/>
      <c r="J595" s="3"/>
    </row>
    <row r="596" spans="4:10" s="22" customFormat="1" x14ac:dyDescent="0.35">
      <c r="D596" s="3"/>
      <c r="E596" s="3"/>
      <c r="F596" s="3"/>
      <c r="G596" s="3"/>
      <c r="H596" s="3"/>
      <c r="I596" s="3"/>
      <c r="J596" s="3"/>
    </row>
    <row r="597" spans="4:10" s="22" customFormat="1" x14ac:dyDescent="0.35">
      <c r="D597" s="3"/>
      <c r="E597" s="3"/>
      <c r="F597" s="3"/>
      <c r="G597" s="3"/>
      <c r="H597" s="3"/>
      <c r="I597" s="3"/>
      <c r="J597" s="3"/>
    </row>
    <row r="598" spans="4:10" s="22" customFormat="1" x14ac:dyDescent="0.35">
      <c r="D598" s="3"/>
      <c r="E598" s="3"/>
      <c r="F598" s="3"/>
      <c r="G598" s="3"/>
      <c r="H598" s="3"/>
      <c r="I598" s="3"/>
      <c r="J598" s="3"/>
    </row>
    <row r="599" spans="4:10" s="22" customFormat="1" x14ac:dyDescent="0.35">
      <c r="D599" s="3"/>
      <c r="E599" s="3"/>
      <c r="F599" s="3"/>
      <c r="G599" s="3"/>
      <c r="H599" s="3"/>
      <c r="I599" s="3"/>
      <c r="J599" s="3"/>
    </row>
    <row r="600" spans="4:10" s="22" customFormat="1" x14ac:dyDescent="0.35">
      <c r="D600" s="3"/>
      <c r="E600" s="3"/>
      <c r="F600" s="3"/>
      <c r="G600" s="3"/>
      <c r="H600" s="3"/>
      <c r="I600" s="3"/>
      <c r="J600" s="3"/>
    </row>
    <row r="601" spans="4:10" s="22" customFormat="1" x14ac:dyDescent="0.35">
      <c r="D601" s="3"/>
      <c r="E601" s="3"/>
      <c r="F601" s="3"/>
      <c r="G601" s="3"/>
      <c r="H601" s="3"/>
      <c r="I601" s="3"/>
      <c r="J601" s="3"/>
    </row>
    <row r="602" spans="4:10" s="22" customFormat="1" x14ac:dyDescent="0.35">
      <c r="D602" s="3"/>
      <c r="E602" s="3"/>
      <c r="F602" s="3"/>
      <c r="G602" s="3"/>
      <c r="H602" s="3"/>
      <c r="I602" s="3"/>
      <c r="J602" s="3"/>
    </row>
    <row r="603" spans="4:10" s="22" customFormat="1" x14ac:dyDescent="0.35">
      <c r="D603" s="3"/>
      <c r="E603" s="3"/>
      <c r="F603" s="3"/>
      <c r="G603" s="3"/>
      <c r="H603" s="3"/>
      <c r="I603" s="3"/>
      <c r="J603" s="3"/>
    </row>
    <row r="604" spans="4:10" s="22" customFormat="1" x14ac:dyDescent="0.35">
      <c r="D604" s="3"/>
      <c r="E604" s="3"/>
      <c r="F604" s="3"/>
      <c r="G604" s="3"/>
      <c r="H604" s="3"/>
      <c r="I604" s="3"/>
      <c r="J604" s="3"/>
    </row>
    <row r="605" spans="4:10" s="22" customFormat="1" x14ac:dyDescent="0.35">
      <c r="D605" s="3"/>
      <c r="E605" s="3"/>
      <c r="F605" s="3"/>
      <c r="G605" s="3"/>
      <c r="H605" s="3"/>
      <c r="I605" s="3"/>
      <c r="J605" s="3"/>
    </row>
    <row r="606" spans="4:10" s="22" customFormat="1" x14ac:dyDescent="0.35">
      <c r="D606" s="3"/>
      <c r="E606" s="3"/>
      <c r="F606" s="3"/>
      <c r="G606" s="3"/>
      <c r="H606" s="3"/>
      <c r="I606" s="3"/>
      <c r="J606" s="3"/>
    </row>
    <row r="607" spans="4:10" s="22" customFormat="1" x14ac:dyDescent="0.35">
      <c r="D607" s="3"/>
      <c r="E607" s="3"/>
      <c r="F607" s="3"/>
      <c r="G607" s="3"/>
      <c r="H607" s="3"/>
      <c r="I607" s="3"/>
      <c r="J607" s="3"/>
    </row>
    <row r="608" spans="4:10" s="22" customFormat="1" x14ac:dyDescent="0.35">
      <c r="D608" s="3"/>
      <c r="E608" s="3"/>
      <c r="F608" s="3"/>
      <c r="G608" s="3"/>
      <c r="H608" s="3"/>
      <c r="I608" s="3"/>
      <c r="J608" s="3"/>
    </row>
    <row r="609" spans="4:10" s="22" customFormat="1" x14ac:dyDescent="0.35">
      <c r="D609" s="3"/>
      <c r="E609" s="3"/>
      <c r="F609" s="3"/>
      <c r="G609" s="3"/>
      <c r="H609" s="3"/>
      <c r="I609" s="3"/>
      <c r="J609" s="3"/>
    </row>
    <row r="610" spans="4:10" s="22" customFormat="1" x14ac:dyDescent="0.35">
      <c r="D610" s="3"/>
      <c r="E610" s="3"/>
      <c r="F610" s="3"/>
      <c r="G610" s="3"/>
      <c r="H610" s="3"/>
      <c r="I610" s="3"/>
      <c r="J610" s="3"/>
    </row>
    <row r="611" spans="4:10" s="22" customFormat="1" x14ac:dyDescent="0.35">
      <c r="D611" s="3"/>
      <c r="E611" s="3"/>
      <c r="F611" s="3"/>
      <c r="G611" s="3"/>
      <c r="H611" s="3"/>
      <c r="I611" s="3"/>
      <c r="J611" s="3"/>
    </row>
    <row r="612" spans="4:10" s="22" customFormat="1" x14ac:dyDescent="0.35">
      <c r="D612" s="3"/>
      <c r="E612" s="3"/>
      <c r="F612" s="3"/>
      <c r="G612" s="3"/>
      <c r="H612" s="3"/>
      <c r="I612" s="3"/>
      <c r="J612" s="3"/>
    </row>
    <row r="613" spans="4:10" s="22" customFormat="1" x14ac:dyDescent="0.35">
      <c r="D613" s="3"/>
      <c r="E613" s="3"/>
      <c r="F613" s="3"/>
      <c r="G613" s="3"/>
      <c r="H613" s="3"/>
      <c r="I613" s="3"/>
      <c r="J613" s="3"/>
    </row>
    <row r="614" spans="4:10" s="22" customFormat="1" x14ac:dyDescent="0.35">
      <c r="D614" s="3"/>
      <c r="E614" s="3"/>
      <c r="F614" s="3"/>
      <c r="G614" s="3"/>
      <c r="H614" s="3"/>
      <c r="I614" s="3"/>
      <c r="J614" s="3"/>
    </row>
    <row r="615" spans="4:10" s="22" customFormat="1" x14ac:dyDescent="0.35">
      <c r="D615" s="3"/>
      <c r="E615" s="3"/>
      <c r="F615" s="3"/>
      <c r="G615" s="3"/>
      <c r="H615" s="3"/>
      <c r="I615" s="3"/>
      <c r="J615" s="3"/>
    </row>
    <row r="616" spans="4:10" s="22" customFormat="1" x14ac:dyDescent="0.35">
      <c r="D616" s="3"/>
      <c r="E616" s="3"/>
      <c r="F616" s="3"/>
      <c r="G616" s="3"/>
      <c r="H616" s="3"/>
      <c r="I616" s="3"/>
      <c r="J616" s="3"/>
    </row>
    <row r="617" spans="4:10" s="22" customFormat="1" x14ac:dyDescent="0.35">
      <c r="D617" s="3"/>
      <c r="E617" s="3"/>
      <c r="F617" s="3"/>
      <c r="G617" s="3"/>
      <c r="H617" s="3"/>
      <c r="I617" s="3"/>
      <c r="J617" s="3"/>
    </row>
    <row r="618" spans="4:10" s="22" customFormat="1" x14ac:dyDescent="0.35">
      <c r="D618" s="3"/>
      <c r="E618" s="3"/>
      <c r="F618" s="3"/>
      <c r="G618" s="3"/>
      <c r="H618" s="3"/>
      <c r="I618" s="3"/>
      <c r="J618" s="3"/>
    </row>
    <row r="619" spans="4:10" s="22" customFormat="1" x14ac:dyDescent="0.35">
      <c r="D619" s="3"/>
      <c r="E619" s="3"/>
      <c r="F619" s="3"/>
      <c r="G619" s="3"/>
      <c r="H619" s="3"/>
      <c r="I619" s="3"/>
      <c r="J619" s="3"/>
    </row>
    <row r="620" spans="4:10" s="22" customFormat="1" x14ac:dyDescent="0.35">
      <c r="D620" s="3"/>
      <c r="E620" s="3"/>
      <c r="F620" s="3"/>
      <c r="G620" s="3"/>
      <c r="H620" s="3"/>
      <c r="I620" s="3"/>
      <c r="J620" s="3"/>
    </row>
    <row r="621" spans="4:10" s="22" customFormat="1" x14ac:dyDescent="0.35">
      <c r="D621" s="3"/>
      <c r="E621" s="3"/>
      <c r="F621" s="3"/>
      <c r="G621" s="3"/>
      <c r="H621" s="3"/>
      <c r="I621" s="3"/>
      <c r="J621" s="3"/>
    </row>
    <row r="622" spans="4:10" s="22" customFormat="1" x14ac:dyDescent="0.35">
      <c r="D622" s="3"/>
      <c r="E622" s="3"/>
      <c r="F622" s="3"/>
      <c r="G622" s="3"/>
      <c r="H622" s="3"/>
      <c r="I622" s="3"/>
      <c r="J622" s="3"/>
    </row>
    <row r="623" spans="4:10" s="22" customFormat="1" x14ac:dyDescent="0.35">
      <c r="D623" s="3"/>
      <c r="E623" s="3"/>
      <c r="F623" s="3"/>
      <c r="G623" s="3"/>
      <c r="H623" s="3"/>
      <c r="I623" s="3"/>
      <c r="J623" s="3"/>
    </row>
    <row r="624" spans="4:10" s="22" customFormat="1" x14ac:dyDescent="0.35">
      <c r="D624" s="3"/>
      <c r="E624" s="3"/>
      <c r="F624" s="3"/>
      <c r="G624" s="3"/>
      <c r="H624" s="3"/>
      <c r="I624" s="3"/>
      <c r="J624" s="3"/>
    </row>
    <row r="625" spans="4:10" s="22" customFormat="1" x14ac:dyDescent="0.35">
      <c r="D625" s="3"/>
      <c r="E625" s="3"/>
      <c r="F625" s="3"/>
      <c r="G625" s="3"/>
      <c r="H625" s="3"/>
      <c r="I625" s="3"/>
      <c r="J625" s="3"/>
    </row>
    <row r="626" spans="4:10" s="22" customFormat="1" x14ac:dyDescent="0.35">
      <c r="D626" s="3"/>
      <c r="E626" s="3"/>
      <c r="F626" s="3"/>
      <c r="G626" s="3"/>
      <c r="H626" s="3"/>
      <c r="I626" s="3"/>
      <c r="J626" s="3"/>
    </row>
    <row r="627" spans="4:10" s="22" customFormat="1" x14ac:dyDescent="0.35">
      <c r="D627" s="3"/>
      <c r="E627" s="3"/>
      <c r="F627" s="3"/>
      <c r="G627" s="3"/>
      <c r="H627" s="3"/>
      <c r="I627" s="3"/>
      <c r="J627" s="3"/>
    </row>
    <row r="628" spans="4:10" s="22" customFormat="1" x14ac:dyDescent="0.35">
      <c r="D628" s="3"/>
      <c r="E628" s="3"/>
      <c r="F628" s="3"/>
      <c r="G628" s="3"/>
      <c r="H628" s="3"/>
      <c r="I628" s="3"/>
      <c r="J628" s="3"/>
    </row>
    <row r="629" spans="4:10" s="22" customFormat="1" x14ac:dyDescent="0.35">
      <c r="D629" s="3"/>
      <c r="E629" s="3"/>
      <c r="F629" s="3"/>
      <c r="G629" s="3"/>
      <c r="H629" s="3"/>
      <c r="I629" s="3"/>
      <c r="J629" s="3"/>
    </row>
    <row r="630" spans="4:10" s="22" customFormat="1" x14ac:dyDescent="0.35">
      <c r="D630" s="3"/>
      <c r="E630" s="3"/>
      <c r="F630" s="3"/>
      <c r="G630" s="3"/>
      <c r="H630" s="3"/>
      <c r="I630" s="3"/>
      <c r="J630" s="3"/>
    </row>
    <row r="631" spans="4:10" s="22" customFormat="1" x14ac:dyDescent="0.35">
      <c r="D631" s="3"/>
      <c r="E631" s="3"/>
      <c r="F631" s="3"/>
      <c r="G631" s="3"/>
      <c r="H631" s="3"/>
      <c r="I631" s="3"/>
      <c r="J631" s="3"/>
    </row>
    <row r="632" spans="4:10" s="22" customFormat="1" x14ac:dyDescent="0.35">
      <c r="D632" s="3"/>
      <c r="E632" s="3"/>
      <c r="F632" s="3"/>
      <c r="G632" s="3"/>
      <c r="H632" s="3"/>
      <c r="I632" s="3"/>
      <c r="J632" s="3"/>
    </row>
    <row r="633" spans="4:10" s="22" customFormat="1" x14ac:dyDescent="0.35">
      <c r="D633" s="3"/>
      <c r="E633" s="3"/>
      <c r="F633" s="3"/>
      <c r="G633" s="3"/>
      <c r="H633" s="3"/>
      <c r="I633" s="3"/>
      <c r="J633" s="3"/>
    </row>
    <row r="634" spans="4:10" s="22" customFormat="1" x14ac:dyDescent="0.35">
      <c r="D634" s="3"/>
      <c r="E634" s="3"/>
      <c r="F634" s="3"/>
      <c r="G634" s="3"/>
      <c r="H634" s="3"/>
      <c r="I634" s="3"/>
      <c r="J634" s="3"/>
    </row>
    <row r="635" spans="4:10" s="22" customFormat="1" x14ac:dyDescent="0.35">
      <c r="D635" s="3"/>
      <c r="E635" s="3"/>
      <c r="F635" s="3"/>
      <c r="G635" s="3"/>
      <c r="H635" s="3"/>
      <c r="I635" s="3"/>
      <c r="J635" s="3"/>
    </row>
    <row r="636" spans="4:10" s="22" customFormat="1" x14ac:dyDescent="0.35">
      <c r="D636" s="3"/>
      <c r="E636" s="3"/>
      <c r="F636" s="3"/>
      <c r="G636" s="3"/>
      <c r="H636" s="3"/>
      <c r="I636" s="3"/>
      <c r="J636" s="3"/>
    </row>
    <row r="637" spans="4:10" s="22" customFormat="1" x14ac:dyDescent="0.35">
      <c r="D637" s="3"/>
      <c r="E637" s="3"/>
      <c r="F637" s="3"/>
      <c r="G637" s="3"/>
      <c r="H637" s="3"/>
      <c r="I637" s="3"/>
      <c r="J637" s="3"/>
    </row>
    <row r="638" spans="4:10" s="22" customFormat="1" x14ac:dyDescent="0.35">
      <c r="D638" s="3"/>
      <c r="E638" s="3"/>
      <c r="F638" s="3"/>
      <c r="G638" s="3"/>
      <c r="H638" s="3"/>
      <c r="I638" s="3"/>
      <c r="J638" s="3"/>
    </row>
    <row r="639" spans="4:10" s="22" customFormat="1" x14ac:dyDescent="0.35">
      <c r="D639" s="3"/>
      <c r="E639" s="3"/>
      <c r="F639" s="3"/>
      <c r="G639" s="3"/>
      <c r="H639" s="3"/>
      <c r="I639" s="3"/>
      <c r="J639" s="3"/>
    </row>
    <row r="640" spans="4:10" s="22" customFormat="1" x14ac:dyDescent="0.35">
      <c r="D640" s="3"/>
      <c r="E640" s="3"/>
      <c r="F640" s="3"/>
      <c r="G640" s="3"/>
      <c r="H640" s="3"/>
      <c r="I640" s="3"/>
      <c r="J640" s="3"/>
    </row>
    <row r="641" spans="4:10" s="22" customFormat="1" x14ac:dyDescent="0.35">
      <c r="D641" s="3"/>
      <c r="E641" s="3"/>
      <c r="F641" s="3"/>
      <c r="G641" s="3"/>
      <c r="H641" s="3"/>
      <c r="I641" s="3"/>
      <c r="J641" s="3"/>
    </row>
    <row r="642" spans="4:10" s="22" customFormat="1" x14ac:dyDescent="0.35">
      <c r="D642" s="3"/>
      <c r="E642" s="3"/>
      <c r="F642" s="3"/>
      <c r="G642" s="3"/>
      <c r="H642" s="3"/>
      <c r="I642" s="3"/>
      <c r="J642" s="3"/>
    </row>
    <row r="643" spans="4:10" s="22" customFormat="1" x14ac:dyDescent="0.35">
      <c r="D643" s="3"/>
      <c r="E643" s="3"/>
      <c r="F643" s="3"/>
      <c r="G643" s="3"/>
      <c r="H643" s="3"/>
      <c r="I643" s="3"/>
      <c r="J643" s="3"/>
    </row>
    <row r="644" spans="4:10" s="22" customFormat="1" x14ac:dyDescent="0.35">
      <c r="D644" s="3"/>
      <c r="E644" s="3"/>
      <c r="F644" s="3"/>
      <c r="G644" s="3"/>
      <c r="H644" s="3"/>
      <c r="I644" s="3"/>
      <c r="J644" s="3"/>
    </row>
    <row r="645" spans="4:10" s="22" customFormat="1" x14ac:dyDescent="0.35">
      <c r="D645" s="3"/>
      <c r="E645" s="3"/>
      <c r="F645" s="3"/>
      <c r="G645" s="3"/>
      <c r="H645" s="3"/>
      <c r="I645" s="3"/>
      <c r="J645" s="3"/>
    </row>
    <row r="646" spans="4:10" s="22" customFormat="1" x14ac:dyDescent="0.35">
      <c r="D646" s="3"/>
      <c r="E646" s="3"/>
      <c r="F646" s="3"/>
      <c r="G646" s="3"/>
      <c r="H646" s="3"/>
      <c r="I646" s="3"/>
      <c r="J646" s="3"/>
    </row>
    <row r="647" spans="4:10" s="22" customFormat="1" x14ac:dyDescent="0.35">
      <c r="D647" s="3"/>
      <c r="E647" s="3"/>
      <c r="F647" s="3"/>
      <c r="G647" s="3"/>
      <c r="H647" s="3"/>
      <c r="I647" s="3"/>
      <c r="J647" s="3"/>
    </row>
    <row r="648" spans="4:10" s="22" customFormat="1" x14ac:dyDescent="0.35">
      <c r="D648" s="3"/>
      <c r="E648" s="3"/>
      <c r="F648" s="3"/>
      <c r="G648" s="3"/>
      <c r="H648" s="3"/>
      <c r="I648" s="3"/>
      <c r="J648" s="3"/>
    </row>
    <row r="649" spans="4:10" s="22" customFormat="1" x14ac:dyDescent="0.35">
      <c r="D649" s="3"/>
      <c r="E649" s="3"/>
      <c r="F649" s="3"/>
      <c r="G649" s="3"/>
      <c r="H649" s="3"/>
      <c r="I649" s="3"/>
      <c r="J649" s="3"/>
    </row>
    <row r="650" spans="4:10" s="22" customFormat="1" x14ac:dyDescent="0.35">
      <c r="D650" s="3"/>
      <c r="E650" s="3"/>
      <c r="F650" s="3"/>
      <c r="G650" s="3"/>
      <c r="H650" s="3"/>
      <c r="I650" s="3"/>
      <c r="J650" s="3"/>
    </row>
    <row r="651" spans="4:10" s="22" customFormat="1" x14ac:dyDescent="0.35">
      <c r="D651" s="3"/>
      <c r="E651" s="3"/>
      <c r="F651" s="3"/>
      <c r="G651" s="3"/>
      <c r="H651" s="3"/>
      <c r="I651" s="3"/>
      <c r="J651" s="3"/>
    </row>
    <row r="652" spans="4:10" s="22" customFormat="1" x14ac:dyDescent="0.35">
      <c r="D652" s="3"/>
      <c r="E652" s="3"/>
      <c r="F652" s="3"/>
      <c r="G652" s="3"/>
      <c r="H652" s="3"/>
      <c r="I652" s="3"/>
      <c r="J652" s="3"/>
    </row>
    <row r="653" spans="4:10" s="22" customFormat="1" x14ac:dyDescent="0.35">
      <c r="D653" s="3"/>
      <c r="E653" s="3"/>
      <c r="F653" s="3"/>
      <c r="G653" s="3"/>
      <c r="H653" s="3"/>
      <c r="I653" s="3"/>
      <c r="J653" s="3"/>
    </row>
    <row r="654" spans="4:10" s="22" customFormat="1" x14ac:dyDescent="0.35">
      <c r="D654" s="3"/>
      <c r="E654" s="3"/>
      <c r="F654" s="3"/>
      <c r="G654" s="3"/>
      <c r="H654" s="3"/>
      <c r="I654" s="3"/>
      <c r="J654" s="3"/>
    </row>
    <row r="655" spans="4:10" s="22" customFormat="1" x14ac:dyDescent="0.35">
      <c r="D655" s="3"/>
      <c r="E655" s="3"/>
      <c r="F655" s="3"/>
      <c r="G655" s="3"/>
      <c r="H655" s="3"/>
      <c r="I655" s="3"/>
      <c r="J655" s="3"/>
    </row>
    <row r="656" spans="4:10" s="22" customFormat="1" x14ac:dyDescent="0.35">
      <c r="D656" s="3"/>
      <c r="E656" s="3"/>
      <c r="F656" s="3"/>
      <c r="G656" s="3"/>
      <c r="H656" s="3"/>
      <c r="I656" s="3"/>
      <c r="J656" s="3"/>
    </row>
    <row r="657" spans="4:10" s="22" customFormat="1" x14ac:dyDescent="0.35">
      <c r="D657" s="3"/>
      <c r="E657" s="3"/>
      <c r="F657" s="3"/>
      <c r="G657" s="3"/>
      <c r="H657" s="3"/>
      <c r="I657" s="3"/>
      <c r="J657" s="3"/>
    </row>
    <row r="658" spans="4:10" s="22" customFormat="1" x14ac:dyDescent="0.35">
      <c r="D658" s="3"/>
      <c r="E658" s="3"/>
      <c r="F658" s="3"/>
      <c r="G658" s="3"/>
      <c r="H658" s="3"/>
      <c r="I658" s="3"/>
      <c r="J658" s="3"/>
    </row>
    <row r="659" spans="4:10" s="22" customFormat="1" x14ac:dyDescent="0.35">
      <c r="D659" s="3"/>
      <c r="E659" s="3"/>
      <c r="F659" s="3"/>
      <c r="G659" s="3"/>
      <c r="H659" s="3"/>
      <c r="I659" s="3"/>
      <c r="J659" s="3"/>
    </row>
    <row r="660" spans="4:10" s="22" customFormat="1" x14ac:dyDescent="0.35">
      <c r="D660" s="3" t="s">
        <v>265</v>
      </c>
      <c r="E660" s="3"/>
      <c r="F660" s="3"/>
      <c r="G660" s="3"/>
      <c r="H660" s="3"/>
      <c r="I660" s="3"/>
      <c r="J660" s="3"/>
    </row>
    <row r="661" spans="4:10" s="22" customFormat="1" x14ac:dyDescent="0.35">
      <c r="D661" s="3"/>
      <c r="E661" s="3"/>
      <c r="F661" s="3"/>
      <c r="G661" s="3"/>
      <c r="H661" s="3"/>
      <c r="I661" s="3"/>
      <c r="J661" s="3"/>
    </row>
    <row r="662" spans="4:10" s="22" customFormat="1" x14ac:dyDescent="0.35">
      <c r="D662" s="3"/>
      <c r="E662" s="3"/>
      <c r="F662" s="3"/>
      <c r="G662" s="3"/>
      <c r="H662" s="3"/>
      <c r="I662" s="3"/>
      <c r="J662" s="3"/>
    </row>
    <row r="663" spans="4:10" s="22" customFormat="1" x14ac:dyDescent="0.35">
      <c r="D663" s="3"/>
      <c r="E663" s="3"/>
      <c r="F663" s="3"/>
      <c r="G663" s="3"/>
      <c r="H663" s="3"/>
      <c r="I663" s="3"/>
      <c r="J663" s="3"/>
    </row>
    <row r="664" spans="4:10" s="22" customFormat="1" x14ac:dyDescent="0.35">
      <c r="D664" s="3"/>
      <c r="E664" s="3"/>
      <c r="F664" s="3"/>
      <c r="G664" s="3"/>
      <c r="H664" s="3"/>
      <c r="I664" s="3"/>
      <c r="J664" s="3"/>
    </row>
    <row r="665" spans="4:10" s="22" customFormat="1" x14ac:dyDescent="0.35">
      <c r="D665" s="3"/>
      <c r="E665" s="3"/>
      <c r="F665" s="3"/>
      <c r="G665" s="3"/>
      <c r="H665" s="3"/>
      <c r="I665" s="3"/>
      <c r="J665" s="3"/>
    </row>
    <row r="666" spans="4:10" s="22" customFormat="1" x14ac:dyDescent="0.35">
      <c r="D666" s="3"/>
      <c r="E666" s="3"/>
      <c r="F666" s="3"/>
      <c r="G666" s="3"/>
      <c r="H666" s="3"/>
      <c r="I666" s="3"/>
      <c r="J666" s="3"/>
    </row>
    <row r="667" spans="4:10" s="22" customFormat="1" x14ac:dyDescent="0.35">
      <c r="D667" s="3"/>
      <c r="E667" s="3"/>
      <c r="F667" s="3"/>
      <c r="G667" s="3"/>
      <c r="H667" s="3"/>
      <c r="I667" s="3"/>
      <c r="J667" s="3"/>
    </row>
    <row r="668" spans="4:10" s="22" customFormat="1" x14ac:dyDescent="0.35">
      <c r="D668" s="3"/>
      <c r="E668" s="3"/>
      <c r="F668" s="3"/>
      <c r="G668" s="3"/>
      <c r="H668" s="3"/>
      <c r="I668" s="3"/>
      <c r="J668" s="3"/>
    </row>
    <row r="669" spans="4:10" s="22" customFormat="1" x14ac:dyDescent="0.35">
      <c r="D669" s="3"/>
      <c r="E669" s="3"/>
      <c r="F669" s="3"/>
      <c r="G669" s="3"/>
      <c r="H669" s="3"/>
      <c r="I669" s="3"/>
      <c r="J669" s="3"/>
    </row>
    <row r="670" spans="4:10" s="22" customFormat="1" x14ac:dyDescent="0.35">
      <c r="D670" s="3"/>
      <c r="E670" s="3"/>
      <c r="F670" s="3"/>
      <c r="G670" s="3"/>
      <c r="H670" s="3"/>
      <c r="I670" s="3"/>
      <c r="J670" s="3"/>
    </row>
    <row r="671" spans="4:10" s="22" customFormat="1" x14ac:dyDescent="0.35">
      <c r="D671" s="3"/>
      <c r="E671" s="3"/>
      <c r="F671" s="3"/>
      <c r="G671" s="3"/>
      <c r="H671" s="3"/>
      <c r="I671" s="3"/>
      <c r="J671" s="3"/>
    </row>
    <row r="672" spans="4:10" s="22" customFormat="1" x14ac:dyDescent="0.35">
      <c r="D672" s="3"/>
      <c r="E672" s="3"/>
      <c r="F672" s="3"/>
      <c r="G672" s="3"/>
      <c r="H672" s="3"/>
      <c r="I672" s="3"/>
      <c r="J672" s="3"/>
    </row>
    <row r="673" spans="4:10" s="22" customFormat="1" x14ac:dyDescent="0.35">
      <c r="D673" s="3"/>
      <c r="E673" s="3"/>
      <c r="F673" s="3"/>
      <c r="G673" s="3"/>
      <c r="H673" s="3"/>
      <c r="I673" s="3"/>
      <c r="J673" s="3"/>
    </row>
    <row r="674" spans="4:10" s="22" customFormat="1" x14ac:dyDescent="0.35">
      <c r="D674" s="3"/>
      <c r="E674" s="3"/>
      <c r="F674" s="3"/>
      <c r="G674" s="3"/>
      <c r="H674" s="3"/>
      <c r="I674" s="3"/>
      <c r="J674" s="3"/>
    </row>
    <row r="675" spans="4:10" s="22" customFormat="1" x14ac:dyDescent="0.35">
      <c r="D675" s="3"/>
      <c r="E675" s="3"/>
      <c r="F675" s="3"/>
      <c r="G675" s="3"/>
      <c r="H675" s="3"/>
      <c r="I675" s="3"/>
      <c r="J675" s="3"/>
    </row>
    <row r="676" spans="4:10" s="22" customFormat="1" x14ac:dyDescent="0.35">
      <c r="D676" s="3"/>
      <c r="E676" s="3"/>
      <c r="F676" s="3"/>
      <c r="G676" s="3"/>
      <c r="H676" s="3"/>
      <c r="I676" s="3"/>
      <c r="J676" s="3"/>
    </row>
    <row r="677" spans="4:10" s="22" customFormat="1" x14ac:dyDescent="0.35">
      <c r="D677" s="3"/>
      <c r="E677" s="3"/>
      <c r="F677" s="3"/>
      <c r="G677" s="3"/>
      <c r="H677" s="3"/>
      <c r="I677" s="3"/>
      <c r="J677" s="3"/>
    </row>
    <row r="678" spans="4:10" s="22" customFormat="1" x14ac:dyDescent="0.35">
      <c r="D678" s="3"/>
      <c r="E678" s="3"/>
      <c r="F678" s="3"/>
      <c r="G678" s="3"/>
      <c r="H678" s="3"/>
      <c r="I678" s="3"/>
      <c r="J678" s="3"/>
    </row>
    <row r="679" spans="4:10" s="22" customFormat="1" x14ac:dyDescent="0.35">
      <c r="D679" s="3"/>
      <c r="E679" s="3"/>
      <c r="F679" s="3"/>
      <c r="G679" s="3"/>
      <c r="H679" s="3"/>
      <c r="I679" s="3"/>
      <c r="J679" s="3"/>
    </row>
    <row r="680" spans="4:10" s="22" customFormat="1" x14ac:dyDescent="0.35">
      <c r="D680" s="3"/>
      <c r="E680" s="3"/>
      <c r="F680" s="3"/>
      <c r="G680" s="3"/>
      <c r="H680" s="3"/>
      <c r="I680" s="3"/>
      <c r="J680" s="3"/>
    </row>
    <row r="681" spans="4:10" s="22" customFormat="1" x14ac:dyDescent="0.35">
      <c r="D681" s="3"/>
      <c r="E681" s="3"/>
      <c r="F681" s="3"/>
      <c r="G681" s="3"/>
      <c r="H681" s="3"/>
      <c r="I681" s="3"/>
      <c r="J681" s="3"/>
    </row>
    <row r="682" spans="4:10" s="22" customFormat="1" x14ac:dyDescent="0.35">
      <c r="D682" s="3"/>
      <c r="E682" s="3"/>
      <c r="F682" s="3"/>
      <c r="G682" s="3"/>
      <c r="H682" s="3"/>
      <c r="I682" s="3"/>
      <c r="J682" s="3"/>
    </row>
    <row r="683" spans="4:10" s="22" customFormat="1" x14ac:dyDescent="0.35">
      <c r="D683" s="3"/>
      <c r="E683" s="3"/>
      <c r="F683" s="3"/>
      <c r="G683" s="3"/>
      <c r="H683" s="3"/>
      <c r="I683" s="3"/>
      <c r="J683" s="3"/>
    </row>
    <row r="684" spans="4:10" s="22" customFormat="1" x14ac:dyDescent="0.35">
      <c r="D684" s="3"/>
      <c r="E684" s="3"/>
      <c r="F684" s="3"/>
      <c r="G684" s="3"/>
      <c r="H684" s="3"/>
      <c r="I684" s="3"/>
      <c r="J684" s="3"/>
    </row>
    <row r="685" spans="4:10" s="22" customFormat="1" x14ac:dyDescent="0.35">
      <c r="D685" s="3"/>
      <c r="E685" s="3"/>
      <c r="F685" s="3"/>
      <c r="G685" s="3"/>
      <c r="H685" s="3"/>
      <c r="I685" s="3"/>
      <c r="J685" s="3"/>
    </row>
    <row r="686" spans="4:10" s="22" customFormat="1" x14ac:dyDescent="0.35">
      <c r="D686" s="3"/>
      <c r="E686" s="3"/>
      <c r="F686" s="3"/>
      <c r="G686" s="3"/>
      <c r="H686" s="3"/>
      <c r="I686" s="3"/>
      <c r="J686" s="3"/>
    </row>
    <row r="687" spans="4:10" s="22" customFormat="1" x14ac:dyDescent="0.35">
      <c r="D687" s="3"/>
      <c r="E687" s="3"/>
      <c r="F687" s="3"/>
      <c r="G687" s="3"/>
      <c r="H687" s="3"/>
      <c r="I687" s="3"/>
      <c r="J687" s="3"/>
    </row>
    <row r="688" spans="4:10" s="22" customFormat="1" x14ac:dyDescent="0.35">
      <c r="D688" s="3"/>
      <c r="E688" s="3"/>
      <c r="F688" s="3"/>
      <c r="G688" s="3"/>
      <c r="H688" s="3"/>
      <c r="I688" s="3"/>
      <c r="J688" s="3"/>
    </row>
    <row r="689" spans="4:10" s="22" customFormat="1" x14ac:dyDescent="0.35">
      <c r="D689" s="3"/>
      <c r="E689" s="3"/>
      <c r="F689" s="3"/>
      <c r="G689" s="3"/>
      <c r="H689" s="3"/>
      <c r="I689" s="3"/>
      <c r="J689" s="3"/>
    </row>
    <row r="690" spans="4:10" s="22" customFormat="1" x14ac:dyDescent="0.35">
      <c r="D690" s="3"/>
      <c r="E690" s="3"/>
      <c r="F690" s="3"/>
      <c r="G690" s="3"/>
      <c r="H690" s="3"/>
      <c r="I690" s="3"/>
      <c r="J690" s="3"/>
    </row>
    <row r="691" spans="4:10" s="22" customFormat="1" x14ac:dyDescent="0.35">
      <c r="D691" s="3"/>
      <c r="E691" s="3"/>
      <c r="F691" s="3"/>
      <c r="G691" s="3"/>
      <c r="H691" s="3"/>
      <c r="I691" s="3"/>
      <c r="J691" s="3"/>
    </row>
    <row r="692" spans="4:10" s="22" customFormat="1" x14ac:dyDescent="0.35">
      <c r="D692" s="3"/>
      <c r="E692" s="3"/>
      <c r="F692" s="3"/>
      <c r="G692" s="3"/>
      <c r="H692" s="3"/>
      <c r="I692" s="3"/>
      <c r="J692" s="3"/>
    </row>
    <row r="693" spans="4:10" s="22" customFormat="1" x14ac:dyDescent="0.35">
      <c r="D693" s="3"/>
      <c r="E693" s="3"/>
      <c r="F693" s="3"/>
      <c r="G693" s="3"/>
      <c r="H693" s="3"/>
      <c r="I693" s="3"/>
      <c r="J693" s="3"/>
    </row>
    <row r="694" spans="4:10" s="22" customFormat="1" x14ac:dyDescent="0.35">
      <c r="D694" s="3"/>
      <c r="E694" s="3"/>
      <c r="F694" s="3"/>
      <c r="G694" s="3"/>
      <c r="H694" s="3"/>
      <c r="I694" s="3"/>
      <c r="J694" s="3"/>
    </row>
    <row r="695" spans="4:10" s="22" customFormat="1" x14ac:dyDescent="0.35">
      <c r="D695" s="3"/>
      <c r="E695" s="3"/>
      <c r="F695" s="3"/>
      <c r="G695" s="3"/>
      <c r="H695" s="3"/>
      <c r="I695" s="3"/>
      <c r="J695" s="3"/>
    </row>
    <row r="696" spans="4:10" s="22" customFormat="1" x14ac:dyDescent="0.35">
      <c r="D696" s="3"/>
      <c r="E696" s="3"/>
      <c r="F696" s="3"/>
      <c r="G696" s="3"/>
      <c r="H696" s="3"/>
      <c r="I696" s="3"/>
      <c r="J696" s="3"/>
    </row>
    <row r="697" spans="4:10" s="22" customFormat="1" x14ac:dyDescent="0.35">
      <c r="D697" s="3"/>
      <c r="E697" s="3"/>
      <c r="F697" s="3"/>
      <c r="G697" s="3"/>
      <c r="H697" s="3"/>
      <c r="I697" s="3"/>
      <c r="J697" s="3"/>
    </row>
    <row r="698" spans="4:10" s="22" customFormat="1" x14ac:dyDescent="0.35">
      <c r="D698" s="3"/>
      <c r="E698" s="3"/>
      <c r="F698" s="3"/>
      <c r="G698" s="3"/>
      <c r="H698" s="3"/>
      <c r="I698" s="3"/>
      <c r="J698" s="3"/>
    </row>
    <row r="699" spans="4:10" s="22" customFormat="1" x14ac:dyDescent="0.35">
      <c r="D699" s="3"/>
      <c r="E699" s="3"/>
      <c r="F699" s="3"/>
      <c r="G699" s="3"/>
      <c r="H699" s="3"/>
      <c r="I699" s="3"/>
      <c r="J699" s="3"/>
    </row>
    <row r="700" spans="4:10" s="22" customFormat="1" x14ac:dyDescent="0.35">
      <c r="D700" s="3"/>
      <c r="E700" s="3"/>
      <c r="F700" s="3"/>
      <c r="G700" s="3"/>
      <c r="H700" s="3"/>
      <c r="I700" s="3"/>
      <c r="J700" s="3"/>
    </row>
    <row r="701" spans="4:10" s="22" customFormat="1" x14ac:dyDescent="0.35">
      <c r="D701" s="3"/>
      <c r="E701" s="3"/>
      <c r="F701" s="3"/>
      <c r="G701" s="3"/>
      <c r="H701" s="3"/>
      <c r="I701" s="3"/>
      <c r="J701" s="3"/>
    </row>
    <row r="702" spans="4:10" s="22" customFormat="1" x14ac:dyDescent="0.35">
      <c r="D702" s="3"/>
      <c r="E702" s="3"/>
      <c r="F702" s="3"/>
      <c r="G702" s="3"/>
      <c r="H702" s="3"/>
      <c r="I702" s="3"/>
      <c r="J702" s="3"/>
    </row>
    <row r="703" spans="4:10" s="22" customFormat="1" x14ac:dyDescent="0.35">
      <c r="D703" s="3"/>
      <c r="E703" s="3"/>
      <c r="F703" s="3"/>
      <c r="G703" s="3"/>
      <c r="H703" s="3"/>
      <c r="I703" s="3"/>
      <c r="J703" s="3"/>
    </row>
    <row r="704" spans="4:10" s="22" customFormat="1" x14ac:dyDescent="0.35">
      <c r="D704" s="3"/>
      <c r="E704" s="3"/>
      <c r="F704" s="3"/>
      <c r="G704" s="3"/>
      <c r="H704" s="3"/>
      <c r="I704" s="3"/>
      <c r="J704" s="3"/>
    </row>
    <row r="705" spans="4:10" s="22" customFormat="1" x14ac:dyDescent="0.35">
      <c r="D705" s="3"/>
      <c r="E705" s="3"/>
      <c r="F705" s="3"/>
      <c r="G705" s="3"/>
      <c r="H705" s="3"/>
      <c r="I705" s="3"/>
      <c r="J705" s="3"/>
    </row>
    <row r="706" spans="4:10" s="22" customFormat="1" x14ac:dyDescent="0.35">
      <c r="D706" s="3"/>
      <c r="E706" s="3"/>
      <c r="F706" s="3"/>
      <c r="G706" s="3"/>
      <c r="H706" s="3"/>
      <c r="I706" s="3"/>
      <c r="J706" s="3"/>
    </row>
    <row r="707" spans="4:10" s="22" customFormat="1" x14ac:dyDescent="0.35">
      <c r="D707" s="3"/>
      <c r="E707" s="3"/>
      <c r="F707" s="3"/>
      <c r="G707" s="3"/>
      <c r="H707" s="3"/>
      <c r="I707" s="3"/>
      <c r="J707" s="3"/>
    </row>
    <row r="708" spans="4:10" s="22" customFormat="1" x14ac:dyDescent="0.35">
      <c r="D708" s="3"/>
      <c r="E708" s="3"/>
      <c r="F708" s="3"/>
      <c r="G708" s="3"/>
      <c r="H708" s="3"/>
      <c r="I708" s="3"/>
      <c r="J708" s="3"/>
    </row>
    <row r="709" spans="4:10" s="22" customFormat="1" x14ac:dyDescent="0.35">
      <c r="D709" s="3"/>
      <c r="E709" s="3"/>
      <c r="F709" s="3"/>
      <c r="G709" s="3"/>
      <c r="H709" s="3"/>
      <c r="I709" s="3"/>
      <c r="J709" s="3"/>
    </row>
    <row r="710" spans="4:10" s="22" customFormat="1" x14ac:dyDescent="0.35">
      <c r="D710" s="3"/>
      <c r="E710" s="3"/>
      <c r="F710" s="3"/>
      <c r="G710" s="3"/>
      <c r="H710" s="3"/>
      <c r="I710" s="3"/>
      <c r="J710" s="3"/>
    </row>
    <row r="711" spans="4:10" s="22" customFormat="1" x14ac:dyDescent="0.35">
      <c r="D711" s="3"/>
      <c r="E711" s="3"/>
      <c r="F711" s="3"/>
      <c r="G711" s="3"/>
      <c r="H711" s="3"/>
      <c r="I711" s="3"/>
      <c r="J711" s="3"/>
    </row>
    <row r="712" spans="4:10" s="22" customFormat="1" x14ac:dyDescent="0.35">
      <c r="D712" s="3"/>
      <c r="E712" s="3"/>
      <c r="F712" s="3"/>
      <c r="G712" s="3"/>
      <c r="H712" s="3"/>
      <c r="I712" s="3"/>
      <c r="J712" s="3"/>
    </row>
    <row r="713" spans="4:10" s="22" customFormat="1" x14ac:dyDescent="0.35">
      <c r="D713" s="3"/>
      <c r="E713" s="3"/>
      <c r="F713" s="3"/>
      <c r="G713" s="3"/>
      <c r="H713" s="3"/>
      <c r="I713" s="3"/>
      <c r="J713" s="3"/>
    </row>
    <row r="714" spans="4:10" s="22" customFormat="1" x14ac:dyDescent="0.35">
      <c r="D714" s="3"/>
      <c r="E714" s="3"/>
      <c r="F714" s="3"/>
      <c r="G714" s="3"/>
      <c r="H714" s="3"/>
      <c r="I714" s="3"/>
      <c r="J714" s="3"/>
    </row>
    <row r="715" spans="4:10" s="22" customFormat="1" x14ac:dyDescent="0.35">
      <c r="D715" s="3"/>
      <c r="E715" s="3"/>
      <c r="F715" s="3"/>
      <c r="G715" s="3"/>
      <c r="H715" s="3"/>
      <c r="I715" s="3"/>
      <c r="J715" s="3"/>
    </row>
    <row r="716" spans="4:10" s="22" customFormat="1" x14ac:dyDescent="0.35">
      <c r="D716" s="3"/>
      <c r="E716" s="3"/>
      <c r="F716" s="3"/>
      <c r="G716" s="3"/>
      <c r="H716" s="3"/>
      <c r="I716" s="3"/>
      <c r="J716" s="3"/>
    </row>
    <row r="717" spans="4:10" s="22" customFormat="1" x14ac:dyDescent="0.35">
      <c r="D717" s="3"/>
      <c r="E717" s="3"/>
      <c r="F717" s="3"/>
      <c r="G717" s="3"/>
      <c r="H717" s="3"/>
      <c r="I717" s="3"/>
      <c r="J717" s="3"/>
    </row>
    <row r="718" spans="4:10" s="22" customFormat="1" x14ac:dyDescent="0.35">
      <c r="D718" s="3"/>
      <c r="E718" s="3"/>
      <c r="F718" s="3"/>
      <c r="G718" s="3"/>
      <c r="H718" s="3"/>
      <c r="I718" s="3"/>
      <c r="J718" s="3"/>
    </row>
    <row r="719" spans="4:10" s="22" customFormat="1" x14ac:dyDescent="0.35">
      <c r="D719" s="3"/>
      <c r="E719" s="3"/>
      <c r="F719" s="3"/>
      <c r="G719" s="3"/>
      <c r="H719" s="3"/>
      <c r="I719" s="3"/>
      <c r="J719" s="3"/>
    </row>
    <row r="720" spans="4:10" s="22" customFormat="1" x14ac:dyDescent="0.35">
      <c r="D720" s="3"/>
      <c r="E720" s="3"/>
      <c r="F720" s="3"/>
      <c r="G720" s="3"/>
      <c r="H720" s="3"/>
      <c r="I720" s="3"/>
      <c r="J720" s="3"/>
    </row>
    <row r="721" spans="4:10" s="22" customFormat="1" x14ac:dyDescent="0.35">
      <c r="D721" s="3"/>
      <c r="E721" s="3"/>
      <c r="F721" s="3"/>
      <c r="G721" s="3"/>
      <c r="H721" s="3"/>
      <c r="I721" s="3"/>
      <c r="J721" s="3"/>
    </row>
    <row r="722" spans="4:10" s="22" customFormat="1" x14ac:dyDescent="0.35">
      <c r="D722" s="3"/>
      <c r="E722" s="3"/>
      <c r="F722" s="3"/>
      <c r="G722" s="3"/>
      <c r="H722" s="3"/>
      <c r="I722" s="3"/>
      <c r="J722" s="3"/>
    </row>
    <row r="723" spans="4:10" s="22" customFormat="1" x14ac:dyDescent="0.35">
      <c r="D723" s="3"/>
      <c r="E723" s="3"/>
      <c r="F723" s="3"/>
      <c r="G723" s="3"/>
      <c r="H723" s="3"/>
      <c r="I723" s="3"/>
      <c r="J723" s="3"/>
    </row>
    <row r="724" spans="4:10" s="22" customFormat="1" x14ac:dyDescent="0.35">
      <c r="D724" s="3"/>
      <c r="E724" s="3"/>
      <c r="F724" s="3"/>
      <c r="G724" s="3"/>
      <c r="H724" s="3"/>
      <c r="I724" s="3"/>
      <c r="J724" s="3"/>
    </row>
    <row r="725" spans="4:10" s="22" customFormat="1" x14ac:dyDescent="0.35">
      <c r="D725" s="3"/>
      <c r="E725" s="3"/>
      <c r="F725" s="3"/>
      <c r="G725" s="3"/>
      <c r="H725" s="3"/>
      <c r="I725" s="3"/>
      <c r="J725" s="3"/>
    </row>
    <row r="726" spans="4:10" s="22" customFormat="1" x14ac:dyDescent="0.35">
      <c r="D726" s="3"/>
      <c r="E726" s="3"/>
      <c r="F726" s="3"/>
      <c r="G726" s="3"/>
      <c r="H726" s="3"/>
      <c r="I726" s="3"/>
      <c r="J726" s="3"/>
    </row>
    <row r="727" spans="4:10" s="22" customFormat="1" x14ac:dyDescent="0.35">
      <c r="D727" s="3"/>
      <c r="E727" s="3"/>
      <c r="F727" s="3"/>
      <c r="G727" s="3"/>
      <c r="H727" s="3"/>
      <c r="I727" s="3"/>
      <c r="J727" s="3"/>
    </row>
    <row r="728" spans="4:10" s="22" customFormat="1" x14ac:dyDescent="0.35">
      <c r="D728" s="3"/>
      <c r="E728" s="3"/>
      <c r="F728" s="3"/>
      <c r="G728" s="3"/>
      <c r="H728" s="3"/>
      <c r="I728" s="3"/>
      <c r="J728" s="3"/>
    </row>
    <row r="729" spans="4:10" s="22" customFormat="1" x14ac:dyDescent="0.35">
      <c r="D729" s="3"/>
      <c r="E729" s="3"/>
      <c r="F729" s="3"/>
      <c r="G729" s="3"/>
      <c r="H729" s="3"/>
      <c r="I729" s="3"/>
      <c r="J729" s="3"/>
    </row>
    <row r="730" spans="4:10" s="22" customFormat="1" x14ac:dyDescent="0.35">
      <c r="D730" s="3"/>
      <c r="E730" s="3"/>
      <c r="F730" s="3"/>
      <c r="G730" s="3"/>
      <c r="H730" s="3"/>
      <c r="I730" s="3"/>
      <c r="J730" s="3"/>
    </row>
    <row r="731" spans="4:10" s="22" customFormat="1" x14ac:dyDescent="0.35">
      <c r="D731" s="3"/>
      <c r="E731" s="3"/>
      <c r="F731" s="3"/>
      <c r="G731" s="3"/>
      <c r="H731" s="3"/>
      <c r="I731" s="3"/>
      <c r="J731" s="3"/>
    </row>
    <row r="732" spans="4:10" s="22" customFormat="1" x14ac:dyDescent="0.35">
      <c r="D732" s="3"/>
      <c r="E732" s="3"/>
      <c r="F732" s="3"/>
      <c r="G732" s="3"/>
      <c r="H732" s="3"/>
      <c r="I732" s="3"/>
      <c r="J732" s="3"/>
    </row>
    <row r="733" spans="4:10" s="22" customFormat="1" x14ac:dyDescent="0.35">
      <c r="D733" s="3"/>
      <c r="E733" s="3"/>
      <c r="F733" s="3"/>
      <c r="G733" s="3"/>
      <c r="H733" s="3"/>
      <c r="I733" s="3"/>
      <c r="J733" s="3"/>
    </row>
    <row r="734" spans="4:10" s="22" customFormat="1" x14ac:dyDescent="0.35">
      <c r="D734" s="3"/>
      <c r="E734" s="3"/>
      <c r="F734" s="3"/>
      <c r="G734" s="3"/>
      <c r="H734" s="3"/>
      <c r="I734" s="3"/>
      <c r="J734" s="3"/>
    </row>
    <row r="735" spans="4:10" s="22" customFormat="1" x14ac:dyDescent="0.35">
      <c r="D735" s="3"/>
      <c r="E735" s="3"/>
      <c r="F735" s="3"/>
      <c r="G735" s="3"/>
      <c r="H735" s="3"/>
      <c r="I735" s="3"/>
      <c r="J735" s="3"/>
    </row>
    <row r="736" spans="4:10" s="22" customFormat="1" x14ac:dyDescent="0.35">
      <c r="D736" s="3"/>
      <c r="E736" s="3"/>
      <c r="F736" s="3"/>
      <c r="G736" s="3"/>
      <c r="H736" s="3"/>
      <c r="I736" s="3"/>
      <c r="J736" s="3"/>
    </row>
    <row r="737" spans="4:10" s="22" customFormat="1" x14ac:dyDescent="0.35">
      <c r="D737" s="3"/>
      <c r="E737" s="3"/>
      <c r="F737" s="3"/>
      <c r="G737" s="3"/>
      <c r="H737" s="3"/>
      <c r="I737" s="3"/>
      <c r="J737" s="3"/>
    </row>
    <row r="738" spans="4:10" s="22" customFormat="1" x14ac:dyDescent="0.35">
      <c r="D738" s="3"/>
      <c r="E738" s="3"/>
      <c r="F738" s="3"/>
      <c r="G738" s="3"/>
      <c r="H738" s="3"/>
      <c r="I738" s="3"/>
      <c r="J738" s="3"/>
    </row>
    <row r="739" spans="4:10" s="22" customFormat="1" x14ac:dyDescent="0.35">
      <c r="D739" s="3"/>
      <c r="E739" s="3"/>
      <c r="F739" s="3"/>
      <c r="G739" s="3"/>
      <c r="H739" s="3"/>
      <c r="I739" s="3"/>
      <c r="J739" s="3"/>
    </row>
    <row r="740" spans="4:10" s="22" customFormat="1" x14ac:dyDescent="0.35">
      <c r="D740" s="3"/>
      <c r="E740" s="3"/>
      <c r="F740" s="3"/>
      <c r="G740" s="3"/>
      <c r="H740" s="3"/>
      <c r="I740" s="3"/>
      <c r="J740" s="3"/>
    </row>
    <row r="741" spans="4:10" s="22" customFormat="1" x14ac:dyDescent="0.35">
      <c r="D741" s="3"/>
      <c r="E741" s="3"/>
      <c r="F741" s="3"/>
      <c r="G741" s="3"/>
      <c r="H741" s="3"/>
      <c r="I741" s="3"/>
      <c r="J741" s="3"/>
    </row>
    <row r="742" spans="4:10" s="22" customFormat="1" x14ac:dyDescent="0.35">
      <c r="D742" s="3"/>
      <c r="E742" s="3"/>
      <c r="F742" s="3"/>
      <c r="G742" s="3"/>
      <c r="H742" s="3"/>
      <c r="I742" s="3"/>
      <c r="J742" s="3"/>
    </row>
    <row r="743" spans="4:10" s="22" customFormat="1" x14ac:dyDescent="0.35">
      <c r="D743" s="3"/>
      <c r="E743" s="3"/>
      <c r="F743" s="3"/>
      <c r="G743" s="3"/>
      <c r="H743" s="3"/>
      <c r="I743" s="3"/>
      <c r="J743" s="3"/>
    </row>
    <row r="744" spans="4:10" s="22" customFormat="1" x14ac:dyDescent="0.35">
      <c r="D744" s="3"/>
      <c r="E744" s="3"/>
      <c r="F744" s="3"/>
      <c r="G744" s="3"/>
      <c r="H744" s="3"/>
      <c r="I744" s="3"/>
      <c r="J744" s="3"/>
    </row>
    <row r="745" spans="4:10" s="22" customFormat="1" x14ac:dyDescent="0.35">
      <c r="D745" s="3"/>
      <c r="E745" s="3"/>
      <c r="F745" s="3"/>
      <c r="G745" s="3"/>
      <c r="H745" s="3"/>
      <c r="I745" s="3"/>
      <c r="J745" s="3"/>
    </row>
    <row r="746" spans="4:10" s="22" customFormat="1" x14ac:dyDescent="0.35">
      <c r="D746" s="3"/>
      <c r="E746" s="3"/>
      <c r="F746" s="3"/>
      <c r="G746" s="3"/>
      <c r="H746" s="3"/>
      <c r="I746" s="3"/>
      <c r="J746" s="3"/>
    </row>
    <row r="747" spans="4:10" s="22" customFormat="1" x14ac:dyDescent="0.35">
      <c r="D747" s="3"/>
      <c r="E747" s="3"/>
      <c r="F747" s="3"/>
      <c r="G747" s="3"/>
      <c r="H747" s="3"/>
      <c r="I747" s="3"/>
      <c r="J747" s="3"/>
    </row>
    <row r="748" spans="4:10" s="22" customFormat="1" x14ac:dyDescent="0.35">
      <c r="D748" s="3"/>
      <c r="E748" s="3"/>
      <c r="F748" s="3"/>
      <c r="G748" s="3"/>
      <c r="H748" s="3"/>
      <c r="I748" s="3"/>
      <c r="J748" s="3"/>
    </row>
    <row r="749" spans="4:10" s="22" customFormat="1" x14ac:dyDescent="0.35">
      <c r="D749" s="3"/>
      <c r="E749" s="3"/>
      <c r="F749" s="3"/>
      <c r="G749" s="3"/>
      <c r="H749" s="3"/>
      <c r="I749" s="3"/>
      <c r="J749" s="3"/>
    </row>
    <row r="750" spans="4:10" s="22" customFormat="1" x14ac:dyDescent="0.35">
      <c r="D750" s="3"/>
      <c r="E750" s="3"/>
      <c r="F750" s="3"/>
      <c r="G750" s="3"/>
      <c r="H750" s="3"/>
      <c r="I750" s="3"/>
      <c r="J750" s="3"/>
    </row>
    <row r="751" spans="4:10" s="22" customFormat="1" x14ac:dyDescent="0.35">
      <c r="D751" s="3"/>
      <c r="E751" s="3"/>
      <c r="F751" s="3"/>
      <c r="G751" s="3"/>
      <c r="H751" s="3"/>
      <c r="I751" s="3"/>
      <c r="J751" s="3"/>
    </row>
    <row r="752" spans="4:10" s="22" customFormat="1" x14ac:dyDescent="0.35">
      <c r="D752" s="3"/>
      <c r="E752" s="3"/>
      <c r="F752" s="3"/>
      <c r="G752" s="3"/>
      <c r="H752" s="3"/>
      <c r="I752" s="3"/>
      <c r="J752" s="3"/>
    </row>
    <row r="753" spans="4:10" s="22" customFormat="1" x14ac:dyDescent="0.35">
      <c r="D753" s="3"/>
      <c r="E753" s="3"/>
      <c r="F753" s="3"/>
      <c r="G753" s="3"/>
      <c r="H753" s="3"/>
      <c r="I753" s="3"/>
      <c r="J753" s="3"/>
    </row>
    <row r="754" spans="4:10" s="22" customFormat="1" x14ac:dyDescent="0.35">
      <c r="D754" s="3"/>
      <c r="E754" s="3"/>
      <c r="F754" s="3"/>
      <c r="G754" s="3"/>
      <c r="H754" s="3"/>
      <c r="I754" s="3"/>
      <c r="J754" s="3"/>
    </row>
    <row r="755" spans="4:10" s="22" customFormat="1" x14ac:dyDescent="0.35">
      <c r="D755" s="3"/>
      <c r="E755" s="3"/>
      <c r="F755" s="3"/>
      <c r="G755" s="3"/>
      <c r="H755" s="3"/>
      <c r="I755" s="3"/>
      <c r="J755" s="3"/>
    </row>
    <row r="756" spans="4:10" s="22" customFormat="1" x14ac:dyDescent="0.35">
      <c r="D756" s="3"/>
      <c r="E756" s="3"/>
      <c r="F756" s="3"/>
      <c r="G756" s="3"/>
      <c r="H756" s="3"/>
      <c r="I756" s="3"/>
      <c r="J756" s="3"/>
    </row>
    <row r="757" spans="4:10" s="22" customFormat="1" x14ac:dyDescent="0.35">
      <c r="D757" s="3"/>
      <c r="E757" s="3"/>
      <c r="F757" s="3"/>
      <c r="G757" s="3"/>
      <c r="H757" s="3"/>
      <c r="I757" s="3"/>
      <c r="J757" s="3"/>
    </row>
    <row r="758" spans="4:10" s="22" customFormat="1" x14ac:dyDescent="0.35">
      <c r="D758" s="3"/>
      <c r="E758" s="3"/>
      <c r="F758" s="3"/>
      <c r="G758" s="3"/>
      <c r="H758" s="3"/>
      <c r="I758" s="3"/>
      <c r="J758" s="3"/>
    </row>
    <row r="759" spans="4:10" s="22" customFormat="1" x14ac:dyDescent="0.35">
      <c r="D759" s="3"/>
      <c r="E759" s="3"/>
      <c r="F759" s="3"/>
      <c r="G759" s="3"/>
      <c r="H759" s="3"/>
      <c r="I759" s="3"/>
      <c r="J759" s="3"/>
    </row>
    <row r="760" spans="4:10" s="22" customFormat="1" x14ac:dyDescent="0.35">
      <c r="D760" s="3"/>
      <c r="E760" s="3"/>
      <c r="F760" s="3"/>
      <c r="G760" s="3"/>
      <c r="H760" s="3"/>
      <c r="I760" s="3"/>
      <c r="J760" s="3"/>
    </row>
    <row r="761" spans="4:10" s="22" customFormat="1" x14ac:dyDescent="0.35">
      <c r="D761" s="3"/>
      <c r="E761" s="3"/>
      <c r="F761" s="3"/>
      <c r="G761" s="3"/>
      <c r="H761" s="3"/>
      <c r="I761" s="3"/>
      <c r="J761" s="3"/>
    </row>
    <row r="762" spans="4:10" s="22" customFormat="1" x14ac:dyDescent="0.35">
      <c r="D762" s="3"/>
      <c r="E762" s="3"/>
      <c r="F762" s="3"/>
      <c r="G762" s="3"/>
      <c r="H762" s="3"/>
      <c r="I762" s="3"/>
      <c r="J762" s="3"/>
    </row>
    <row r="763" spans="4:10" s="22" customFormat="1" x14ac:dyDescent="0.35">
      <c r="D763" s="3"/>
      <c r="E763" s="3"/>
      <c r="F763" s="3"/>
      <c r="G763" s="3"/>
      <c r="H763" s="3"/>
      <c r="I763" s="3"/>
      <c r="J763" s="3"/>
    </row>
    <row r="764" spans="4:10" s="22" customFormat="1" x14ac:dyDescent="0.35">
      <c r="D764" s="3"/>
      <c r="E764" s="3"/>
      <c r="F764" s="3"/>
      <c r="G764" s="3"/>
      <c r="H764" s="3"/>
      <c r="I764" s="3"/>
      <c r="J764" s="3"/>
    </row>
    <row r="765" spans="4:10" s="22" customFormat="1" x14ac:dyDescent="0.35">
      <c r="D765" s="3"/>
      <c r="E765" s="3"/>
      <c r="F765" s="3"/>
      <c r="G765" s="3"/>
      <c r="H765" s="3"/>
      <c r="I765" s="3"/>
      <c r="J765" s="3"/>
    </row>
    <row r="766" spans="4:10" s="22" customFormat="1" x14ac:dyDescent="0.35">
      <c r="D766" s="3"/>
      <c r="E766" s="3"/>
      <c r="F766" s="3"/>
      <c r="G766" s="3"/>
      <c r="H766" s="3"/>
      <c r="I766" s="3"/>
      <c r="J766" s="3"/>
    </row>
    <row r="767" spans="4:10" s="22" customFormat="1" x14ac:dyDescent="0.35">
      <c r="D767" s="3"/>
      <c r="E767" s="3"/>
      <c r="F767" s="3"/>
      <c r="G767" s="3"/>
      <c r="H767" s="3"/>
      <c r="I767" s="3"/>
      <c r="J767" s="3"/>
    </row>
    <row r="768" spans="4:10" s="22" customFormat="1" x14ac:dyDescent="0.35">
      <c r="D768" s="3"/>
      <c r="E768" s="3"/>
      <c r="F768" s="3"/>
      <c r="G768" s="3"/>
      <c r="H768" s="3"/>
      <c r="I768" s="3"/>
      <c r="J768" s="3"/>
    </row>
    <row r="769" spans="4:10" s="22" customFormat="1" x14ac:dyDescent="0.35">
      <c r="D769" s="3"/>
      <c r="E769" s="3"/>
      <c r="F769" s="3"/>
      <c r="G769" s="3"/>
      <c r="H769" s="3"/>
      <c r="I769" s="3"/>
      <c r="J769" s="3"/>
    </row>
    <row r="770" spans="4:10" s="22" customFormat="1" x14ac:dyDescent="0.35">
      <c r="D770" s="3"/>
      <c r="E770" s="3"/>
      <c r="F770" s="3"/>
      <c r="G770" s="3"/>
      <c r="H770" s="3"/>
      <c r="I770" s="3"/>
      <c r="J770" s="3"/>
    </row>
    <row r="771" spans="4:10" s="22" customFormat="1" x14ac:dyDescent="0.35">
      <c r="D771" s="3"/>
      <c r="E771" s="3"/>
      <c r="F771" s="3"/>
      <c r="G771" s="3"/>
      <c r="H771" s="3"/>
      <c r="I771" s="3"/>
      <c r="J771" s="3"/>
    </row>
    <row r="772" spans="4:10" s="22" customFormat="1" x14ac:dyDescent="0.35">
      <c r="D772" s="3"/>
      <c r="E772" s="3"/>
      <c r="F772" s="3"/>
      <c r="G772" s="3"/>
      <c r="H772" s="3"/>
      <c r="I772" s="3"/>
      <c r="J772" s="3"/>
    </row>
    <row r="773" spans="4:10" s="22" customFormat="1" x14ac:dyDescent="0.35">
      <c r="D773" s="3"/>
      <c r="E773" s="3"/>
      <c r="F773" s="3"/>
      <c r="G773" s="3"/>
      <c r="H773" s="3"/>
      <c r="I773" s="3"/>
      <c r="J773" s="3"/>
    </row>
    <row r="774" spans="4:10" s="22" customFormat="1" x14ac:dyDescent="0.35">
      <c r="D774" s="3"/>
      <c r="E774" s="3"/>
      <c r="F774" s="3"/>
      <c r="G774" s="3"/>
      <c r="H774" s="3"/>
      <c r="I774" s="3"/>
      <c r="J774" s="3"/>
    </row>
    <row r="775" spans="4:10" s="22" customFormat="1" x14ac:dyDescent="0.35">
      <c r="D775" s="3"/>
      <c r="E775" s="3"/>
      <c r="F775" s="3"/>
      <c r="G775" s="3"/>
      <c r="H775" s="3"/>
      <c r="I775" s="3"/>
      <c r="J775" s="3"/>
    </row>
    <row r="776" spans="4:10" s="22" customFormat="1" x14ac:dyDescent="0.35">
      <c r="D776" s="3"/>
      <c r="E776" s="3"/>
      <c r="F776" s="3"/>
      <c r="G776" s="3"/>
      <c r="H776" s="3"/>
      <c r="I776" s="3"/>
      <c r="J776" s="3"/>
    </row>
    <row r="777" spans="4:10" s="22" customFormat="1" x14ac:dyDescent="0.35">
      <c r="D777" s="3"/>
      <c r="E777" s="3"/>
      <c r="F777" s="3"/>
      <c r="G777" s="3"/>
      <c r="H777" s="3"/>
      <c r="I777" s="3"/>
      <c r="J777" s="3"/>
    </row>
    <row r="778" spans="4:10" s="22" customFormat="1" x14ac:dyDescent="0.35">
      <c r="D778" s="3"/>
      <c r="E778" s="3"/>
      <c r="F778" s="3"/>
      <c r="G778" s="3"/>
      <c r="H778" s="3"/>
      <c r="I778" s="3"/>
      <c r="J778" s="3"/>
    </row>
    <row r="779" spans="4:10" s="22" customFormat="1" x14ac:dyDescent="0.35">
      <c r="D779" s="3"/>
      <c r="E779" s="3"/>
      <c r="F779" s="3"/>
      <c r="G779" s="3"/>
      <c r="H779" s="3"/>
      <c r="I779" s="3"/>
      <c r="J779" s="3"/>
    </row>
    <row r="780" spans="4:10" s="22" customFormat="1" x14ac:dyDescent="0.35">
      <c r="D780" s="3"/>
      <c r="E780" s="3"/>
      <c r="F780" s="3"/>
      <c r="G780" s="3"/>
      <c r="H780" s="3"/>
      <c r="I780" s="3"/>
      <c r="J780" s="3"/>
    </row>
    <row r="781" spans="4:10" s="22" customFormat="1" x14ac:dyDescent="0.35">
      <c r="D781" s="3"/>
      <c r="E781" s="3"/>
      <c r="F781" s="3"/>
      <c r="G781" s="3"/>
      <c r="H781" s="3"/>
      <c r="I781" s="3"/>
      <c r="J781" s="3"/>
    </row>
    <row r="782" spans="4:10" s="22" customFormat="1" x14ac:dyDescent="0.35">
      <c r="D782" s="3"/>
      <c r="E782" s="3"/>
      <c r="F782" s="3"/>
      <c r="G782" s="3"/>
      <c r="H782" s="3"/>
      <c r="I782" s="3"/>
      <c r="J782" s="3"/>
    </row>
    <row r="783" spans="4:10" s="22" customFormat="1" x14ac:dyDescent="0.35">
      <c r="D783" s="3"/>
      <c r="E783" s="3"/>
      <c r="F783" s="3"/>
      <c r="G783" s="3"/>
      <c r="H783" s="3"/>
      <c r="I783" s="3"/>
      <c r="J783" s="3"/>
    </row>
    <row r="784" spans="4:10" s="22" customFormat="1" x14ac:dyDescent="0.35">
      <c r="D784" s="3"/>
      <c r="E784" s="3"/>
      <c r="F784" s="3"/>
      <c r="G784" s="3"/>
      <c r="H784" s="3"/>
      <c r="I784" s="3"/>
      <c r="J784" s="3"/>
    </row>
    <row r="785" spans="4:10" s="22" customFormat="1" x14ac:dyDescent="0.35">
      <c r="D785" s="3"/>
      <c r="E785" s="3"/>
      <c r="F785" s="3"/>
      <c r="G785" s="3"/>
      <c r="H785" s="3"/>
      <c r="I785" s="3"/>
      <c r="J785" s="3"/>
    </row>
    <row r="786" spans="4:10" s="22" customFormat="1" x14ac:dyDescent="0.35">
      <c r="D786" s="3"/>
      <c r="E786" s="3"/>
      <c r="F786" s="3"/>
      <c r="G786" s="3"/>
      <c r="H786" s="3"/>
      <c r="I786" s="3"/>
      <c r="J786" s="3"/>
    </row>
    <row r="787" spans="4:10" s="22" customFormat="1" x14ac:dyDescent="0.35">
      <c r="D787" s="3"/>
      <c r="E787" s="3"/>
      <c r="F787" s="3"/>
      <c r="G787" s="3"/>
      <c r="H787" s="3"/>
      <c r="I787" s="3"/>
      <c r="J787" s="3"/>
    </row>
    <row r="788" spans="4:10" s="22" customFormat="1" x14ac:dyDescent="0.35">
      <c r="D788" s="3"/>
      <c r="E788" s="3"/>
      <c r="F788" s="3"/>
      <c r="G788" s="3"/>
      <c r="H788" s="3"/>
      <c r="I788" s="3"/>
      <c r="J788" s="3"/>
    </row>
    <row r="789" spans="4:10" s="22" customFormat="1" x14ac:dyDescent="0.35">
      <c r="D789" s="3"/>
      <c r="E789" s="3"/>
      <c r="F789" s="3"/>
      <c r="G789" s="3"/>
      <c r="H789" s="3"/>
      <c r="I789" s="3"/>
      <c r="J789" s="3"/>
    </row>
    <row r="790" spans="4:10" s="22" customFormat="1" x14ac:dyDescent="0.35">
      <c r="D790" s="3"/>
      <c r="E790" s="3"/>
      <c r="F790" s="3"/>
      <c r="G790" s="3"/>
      <c r="H790" s="3"/>
      <c r="I790" s="3"/>
      <c r="J790" s="3"/>
    </row>
    <row r="791" spans="4:10" s="22" customFormat="1" x14ac:dyDescent="0.35">
      <c r="D791" s="3"/>
      <c r="E791" s="3"/>
      <c r="F791" s="3"/>
      <c r="G791" s="3"/>
      <c r="H791" s="3"/>
      <c r="I791" s="3"/>
      <c r="J791" s="3"/>
    </row>
    <row r="792" spans="4:10" s="22" customFormat="1" x14ac:dyDescent="0.35">
      <c r="D792" s="3"/>
      <c r="E792" s="3"/>
      <c r="F792" s="3"/>
      <c r="G792" s="3"/>
      <c r="H792" s="3"/>
      <c r="I792" s="3"/>
      <c r="J792" s="3"/>
    </row>
    <row r="793" spans="4:10" s="22" customFormat="1" x14ac:dyDescent="0.35">
      <c r="D793" s="3"/>
      <c r="E793" s="3"/>
      <c r="F793" s="3"/>
      <c r="G793" s="3"/>
      <c r="H793" s="3"/>
      <c r="I793" s="3"/>
      <c r="J793" s="3"/>
    </row>
    <row r="794" spans="4:10" s="22" customFormat="1" x14ac:dyDescent="0.35">
      <c r="D794" s="3"/>
      <c r="E794" s="3"/>
      <c r="F794" s="3"/>
      <c r="G794" s="3"/>
      <c r="H794" s="3"/>
      <c r="I794" s="3"/>
      <c r="J794" s="3"/>
    </row>
    <row r="795" spans="4:10" s="22" customFormat="1" x14ac:dyDescent="0.35">
      <c r="D795" s="3"/>
      <c r="E795" s="3"/>
      <c r="F795" s="3"/>
      <c r="G795" s="3"/>
      <c r="H795" s="3"/>
      <c r="I795" s="3"/>
      <c r="J795" s="3"/>
    </row>
    <row r="796" spans="4:10" s="22" customFormat="1" x14ac:dyDescent="0.35">
      <c r="D796" s="3"/>
      <c r="E796" s="3"/>
      <c r="F796" s="3"/>
      <c r="G796" s="3"/>
      <c r="H796" s="3"/>
      <c r="I796" s="3"/>
      <c r="J796" s="3"/>
    </row>
    <row r="797" spans="4:10" s="22" customFormat="1" x14ac:dyDescent="0.35">
      <c r="D797" s="3"/>
      <c r="E797" s="3"/>
      <c r="F797" s="3"/>
      <c r="G797" s="3"/>
      <c r="H797" s="3"/>
      <c r="I797" s="3"/>
      <c r="J797" s="3"/>
    </row>
    <row r="798" spans="4:10" s="22" customFormat="1" x14ac:dyDescent="0.35">
      <c r="D798" s="3"/>
      <c r="E798" s="3"/>
      <c r="F798" s="3"/>
      <c r="G798" s="3"/>
      <c r="H798" s="3"/>
      <c r="I798" s="3"/>
      <c r="J798" s="3"/>
    </row>
    <row r="799" spans="4:10" s="22" customFormat="1" x14ac:dyDescent="0.35">
      <c r="D799" s="3"/>
      <c r="E799" s="3"/>
      <c r="F799" s="3"/>
      <c r="G799" s="3"/>
      <c r="H799" s="3"/>
      <c r="I799" s="3"/>
      <c r="J799" s="3"/>
    </row>
    <row r="800" spans="4:10" s="22" customFormat="1" x14ac:dyDescent="0.35">
      <c r="D800" s="3"/>
      <c r="E800" s="3"/>
      <c r="F800" s="3"/>
      <c r="G800" s="3"/>
      <c r="H800" s="3"/>
      <c r="I800" s="3"/>
      <c r="J800" s="3"/>
    </row>
    <row r="801" spans="4:10" s="22" customFormat="1" x14ac:dyDescent="0.35">
      <c r="D801" s="3"/>
      <c r="E801" s="3"/>
      <c r="F801" s="3"/>
      <c r="G801" s="3"/>
      <c r="H801" s="3"/>
      <c r="I801" s="3"/>
      <c r="J801" s="3"/>
    </row>
    <row r="802" spans="4:10" s="22" customFormat="1" x14ac:dyDescent="0.35">
      <c r="D802" s="3"/>
      <c r="E802" s="3"/>
      <c r="F802" s="3"/>
      <c r="G802" s="3"/>
      <c r="H802" s="3"/>
      <c r="I802" s="3"/>
      <c r="J802" s="3"/>
    </row>
    <row r="803" spans="4:10" s="22" customFormat="1" x14ac:dyDescent="0.35">
      <c r="D803" s="3"/>
      <c r="E803" s="3"/>
      <c r="F803" s="3"/>
      <c r="G803" s="3"/>
      <c r="H803" s="3"/>
      <c r="I803" s="3"/>
      <c r="J803" s="3"/>
    </row>
    <row r="804" spans="4:10" s="22" customFormat="1" x14ac:dyDescent="0.35">
      <c r="D804" s="3"/>
      <c r="E804" s="3"/>
      <c r="F804" s="3"/>
      <c r="G804" s="3"/>
      <c r="H804" s="3"/>
      <c r="I804" s="3"/>
      <c r="J804" s="3"/>
    </row>
    <row r="805" spans="4:10" s="22" customFormat="1" x14ac:dyDescent="0.35">
      <c r="D805" s="3"/>
      <c r="E805" s="3"/>
      <c r="F805" s="3"/>
      <c r="G805" s="3"/>
      <c r="H805" s="3"/>
      <c r="I805" s="3"/>
      <c r="J805" s="3"/>
    </row>
    <row r="806" spans="4:10" s="22" customFormat="1" x14ac:dyDescent="0.35">
      <c r="D806" s="3"/>
      <c r="E806" s="3"/>
      <c r="F806" s="3"/>
      <c r="G806" s="3"/>
      <c r="H806" s="3"/>
      <c r="I806" s="3"/>
      <c r="J806" s="3"/>
    </row>
    <row r="807" spans="4:10" s="22" customFormat="1" x14ac:dyDescent="0.35">
      <c r="D807" s="3" t="s">
        <v>266</v>
      </c>
      <c r="E807" s="3"/>
      <c r="F807" s="3"/>
      <c r="G807" s="3"/>
      <c r="H807" s="3"/>
      <c r="I807" s="3"/>
      <c r="J807" s="3"/>
    </row>
    <row r="808" spans="4:10" s="22" customFormat="1" x14ac:dyDescent="0.35">
      <c r="D808" s="3"/>
      <c r="E808" s="3"/>
      <c r="F808" s="3"/>
      <c r="G808" s="3"/>
      <c r="H808" s="3"/>
      <c r="I808" s="3"/>
      <c r="J808" s="3"/>
    </row>
    <row r="809" spans="4:10" s="22" customFormat="1" x14ac:dyDescent="0.35">
      <c r="D809" s="3"/>
      <c r="E809" s="3"/>
      <c r="F809" s="3"/>
      <c r="G809" s="3"/>
      <c r="H809" s="3"/>
      <c r="I809" s="3"/>
      <c r="J809" s="3"/>
    </row>
    <row r="810" spans="4:10" s="22" customFormat="1" x14ac:dyDescent="0.35">
      <c r="D810" s="3"/>
      <c r="E810" s="3"/>
      <c r="F810" s="3"/>
      <c r="G810" s="3"/>
      <c r="H810" s="3"/>
      <c r="I810" s="3"/>
      <c r="J810" s="3"/>
    </row>
    <row r="811" spans="4:10" s="22" customFormat="1" x14ac:dyDescent="0.35">
      <c r="D811" s="3"/>
      <c r="E811" s="3"/>
      <c r="F811" s="3"/>
      <c r="G811" s="3"/>
      <c r="H811" s="3"/>
      <c r="I811" s="3"/>
      <c r="J811" s="3"/>
    </row>
    <row r="812" spans="4:10" s="22" customFormat="1" x14ac:dyDescent="0.35">
      <c r="D812" s="3"/>
      <c r="E812" s="3"/>
      <c r="F812" s="3"/>
      <c r="G812" s="3"/>
      <c r="H812" s="3"/>
      <c r="I812" s="3"/>
      <c r="J812" s="3"/>
    </row>
    <row r="813" spans="4:10" s="22" customFormat="1" x14ac:dyDescent="0.35">
      <c r="D813" s="3"/>
      <c r="E813" s="3"/>
      <c r="F813" s="3"/>
      <c r="G813" s="3"/>
      <c r="H813" s="3"/>
      <c r="I813" s="3"/>
      <c r="J813" s="3"/>
    </row>
    <row r="814" spans="4:10" s="22" customFormat="1" x14ac:dyDescent="0.35">
      <c r="D814" s="3"/>
      <c r="E814" s="3"/>
      <c r="F814" s="3"/>
      <c r="G814" s="3"/>
      <c r="H814" s="3"/>
      <c r="I814" s="3"/>
      <c r="J814" s="3"/>
    </row>
    <row r="815" spans="4:10" s="22" customFormat="1" x14ac:dyDescent="0.35">
      <c r="D815" s="3"/>
      <c r="E815" s="3"/>
      <c r="F815" s="3"/>
      <c r="G815" s="3"/>
      <c r="H815" s="3"/>
      <c r="I815" s="3"/>
      <c r="J815" s="3"/>
    </row>
    <row r="816" spans="4:10" s="22" customFormat="1" x14ac:dyDescent="0.35">
      <c r="D816" s="3"/>
      <c r="E816" s="3"/>
      <c r="F816" s="3"/>
      <c r="G816" s="3"/>
      <c r="H816" s="3"/>
      <c r="I816" s="3"/>
      <c r="J816" s="3"/>
    </row>
    <row r="817" spans="4:10" s="22" customFormat="1" x14ac:dyDescent="0.35">
      <c r="D817" s="3"/>
      <c r="E817" s="3"/>
      <c r="F817" s="3"/>
      <c r="G817" s="3"/>
      <c r="H817" s="3"/>
      <c r="I817" s="3"/>
      <c r="J817" s="3"/>
    </row>
    <row r="818" spans="4:10" s="22" customFormat="1" x14ac:dyDescent="0.35">
      <c r="D818" s="3"/>
      <c r="E818" s="3"/>
      <c r="F818" s="3"/>
      <c r="G818" s="3"/>
      <c r="H818" s="3"/>
      <c r="I818" s="3"/>
      <c r="J818" s="3"/>
    </row>
    <row r="819" spans="4:10" s="22" customFormat="1" x14ac:dyDescent="0.35">
      <c r="D819" s="3"/>
      <c r="E819" s="3"/>
      <c r="F819" s="3"/>
      <c r="G819" s="3"/>
      <c r="H819" s="3"/>
      <c r="I819" s="3"/>
      <c r="J819" s="3"/>
    </row>
    <row r="820" spans="4:10" s="22" customFormat="1" x14ac:dyDescent="0.35">
      <c r="D820" s="3"/>
      <c r="E820" s="3"/>
      <c r="F820" s="3"/>
      <c r="G820" s="3"/>
      <c r="H820" s="3"/>
      <c r="I820" s="3"/>
      <c r="J820" s="3"/>
    </row>
    <row r="821" spans="4:10" s="22" customFormat="1" x14ac:dyDescent="0.35">
      <c r="D821" s="3"/>
      <c r="E821" s="3"/>
      <c r="F821" s="3"/>
      <c r="G821" s="3"/>
      <c r="H821" s="3"/>
      <c r="I821" s="3"/>
      <c r="J821" s="3"/>
    </row>
    <row r="822" spans="4:10" s="22" customFormat="1" x14ac:dyDescent="0.35">
      <c r="D822" s="3"/>
      <c r="E822" s="3"/>
      <c r="F822" s="3"/>
      <c r="G822" s="3"/>
      <c r="H822" s="3"/>
      <c r="I822" s="3"/>
      <c r="J822" s="3"/>
    </row>
    <row r="823" spans="4:10" s="22" customFormat="1" x14ac:dyDescent="0.35">
      <c r="D823" s="3"/>
      <c r="E823" s="3"/>
      <c r="F823" s="3"/>
      <c r="G823" s="3"/>
      <c r="H823" s="3"/>
      <c r="I823" s="3"/>
      <c r="J823" s="3"/>
    </row>
    <row r="824" spans="4:10" s="22" customFormat="1" x14ac:dyDescent="0.35">
      <c r="D824" s="3"/>
      <c r="E824" s="3"/>
      <c r="F824" s="3"/>
      <c r="G824" s="3"/>
      <c r="H824" s="3"/>
      <c r="I824" s="3"/>
      <c r="J824" s="3"/>
    </row>
    <row r="825" spans="4:10" s="22" customFormat="1" x14ac:dyDescent="0.35">
      <c r="D825" s="3"/>
      <c r="E825" s="3"/>
      <c r="F825" s="3"/>
      <c r="G825" s="3"/>
      <c r="H825" s="3"/>
      <c r="I825" s="3"/>
      <c r="J825" s="3"/>
    </row>
    <row r="826" spans="4:10" s="22" customFormat="1" x14ac:dyDescent="0.35">
      <c r="D826" s="3"/>
      <c r="E826" s="3"/>
      <c r="F826" s="3"/>
      <c r="G826" s="3"/>
      <c r="H826" s="3"/>
      <c r="I826" s="3"/>
      <c r="J826" s="3"/>
    </row>
    <row r="827" spans="4:10" s="22" customFormat="1" x14ac:dyDescent="0.35">
      <c r="D827" s="3"/>
      <c r="E827" s="3"/>
      <c r="F827" s="3"/>
      <c r="G827" s="3"/>
      <c r="H827" s="3"/>
      <c r="I827" s="3"/>
      <c r="J827" s="3"/>
    </row>
    <row r="828" spans="4:10" s="22" customFormat="1" x14ac:dyDescent="0.35">
      <c r="D828" s="3"/>
      <c r="E828" s="3"/>
      <c r="F828" s="3"/>
      <c r="G828" s="3"/>
      <c r="H828" s="3"/>
      <c r="I828" s="3"/>
      <c r="J828" s="3"/>
    </row>
    <row r="829" spans="4:10" s="22" customFormat="1" x14ac:dyDescent="0.35">
      <c r="D829" s="3"/>
      <c r="E829" s="3"/>
      <c r="F829" s="3"/>
      <c r="G829" s="3"/>
      <c r="H829" s="3"/>
      <c r="I829" s="3"/>
      <c r="J829" s="3"/>
    </row>
    <row r="830" spans="4:10" s="22" customFormat="1" x14ac:dyDescent="0.35">
      <c r="D830" s="3"/>
      <c r="E830" s="3"/>
      <c r="F830" s="3"/>
      <c r="G830" s="3"/>
      <c r="H830" s="3"/>
      <c r="I830" s="3"/>
      <c r="J830" s="3"/>
    </row>
    <row r="831" spans="4:10" s="22" customFormat="1" x14ac:dyDescent="0.35">
      <c r="D831" s="3"/>
      <c r="E831" s="3"/>
      <c r="F831" s="3"/>
      <c r="G831" s="3"/>
      <c r="H831" s="3"/>
      <c r="I831" s="3"/>
      <c r="J831" s="3"/>
    </row>
    <row r="832" spans="4:10" s="22" customFormat="1" x14ac:dyDescent="0.35">
      <c r="D832" s="3"/>
      <c r="E832" s="3"/>
      <c r="F832" s="3"/>
      <c r="G832" s="3"/>
      <c r="H832" s="3"/>
      <c r="I832" s="3"/>
      <c r="J832" s="3"/>
    </row>
    <row r="833" spans="4:10" s="22" customFormat="1" x14ac:dyDescent="0.35">
      <c r="D833" s="3"/>
      <c r="E833" s="3"/>
      <c r="F833" s="3"/>
      <c r="G833" s="3"/>
      <c r="H833" s="3"/>
      <c r="I833" s="3"/>
      <c r="J833" s="3"/>
    </row>
    <row r="834" spans="4:10" s="22" customFormat="1" x14ac:dyDescent="0.35">
      <c r="D834" s="3"/>
      <c r="E834" s="3"/>
      <c r="F834" s="3"/>
      <c r="G834" s="3"/>
      <c r="H834" s="3"/>
      <c r="I834" s="3"/>
      <c r="J834" s="3"/>
    </row>
    <row r="835" spans="4:10" s="22" customFormat="1" x14ac:dyDescent="0.35">
      <c r="D835" s="3"/>
      <c r="E835" s="3"/>
      <c r="F835" s="3"/>
      <c r="G835" s="3"/>
      <c r="H835" s="3"/>
      <c r="I835" s="3"/>
      <c r="J835" s="3"/>
    </row>
    <row r="836" spans="4:10" s="22" customFormat="1" x14ac:dyDescent="0.35">
      <c r="D836" s="3"/>
      <c r="E836" s="3"/>
      <c r="F836" s="3"/>
      <c r="G836" s="3"/>
      <c r="H836" s="3"/>
      <c r="I836" s="3"/>
      <c r="J836" s="3"/>
    </row>
    <row r="837" spans="4:10" s="22" customFormat="1" x14ac:dyDescent="0.35">
      <c r="D837" s="3"/>
      <c r="E837" s="3"/>
      <c r="F837" s="3"/>
      <c r="G837" s="3"/>
      <c r="H837" s="3"/>
      <c r="I837" s="3"/>
      <c r="J837" s="3"/>
    </row>
    <row r="838" spans="4:10" s="22" customFormat="1" x14ac:dyDescent="0.35">
      <c r="D838" s="3"/>
      <c r="E838" s="3"/>
      <c r="F838" s="3"/>
      <c r="G838" s="3"/>
      <c r="H838" s="3"/>
      <c r="I838" s="3"/>
      <c r="J838" s="3"/>
    </row>
    <row r="839" spans="4:10" s="22" customFormat="1" x14ac:dyDescent="0.35">
      <c r="D839" s="3"/>
      <c r="E839" s="3"/>
      <c r="F839" s="3"/>
      <c r="G839" s="3"/>
      <c r="H839" s="3"/>
      <c r="I839" s="3"/>
      <c r="J839" s="3"/>
    </row>
    <row r="840" spans="4:10" s="22" customFormat="1" x14ac:dyDescent="0.35">
      <c r="D840" s="3"/>
      <c r="E840" s="3"/>
      <c r="F840" s="3"/>
      <c r="G840" s="3"/>
      <c r="H840" s="3"/>
      <c r="I840" s="3"/>
      <c r="J840" s="3"/>
    </row>
    <row r="841" spans="4:10" s="22" customFormat="1" x14ac:dyDescent="0.35">
      <c r="D841" s="3"/>
      <c r="E841" s="3"/>
      <c r="F841" s="3"/>
      <c r="G841" s="3"/>
      <c r="H841" s="3"/>
      <c r="I841" s="3"/>
      <c r="J841" s="3"/>
    </row>
    <row r="842" spans="4:10" s="22" customFormat="1" x14ac:dyDescent="0.35">
      <c r="D842" s="3"/>
      <c r="E842" s="3"/>
      <c r="F842" s="3"/>
      <c r="G842" s="3"/>
      <c r="H842" s="3"/>
      <c r="I842" s="3"/>
      <c r="J842" s="3"/>
    </row>
    <row r="843" spans="4:10" s="22" customFormat="1" x14ac:dyDescent="0.35">
      <c r="D843" s="3"/>
      <c r="E843" s="3"/>
      <c r="F843" s="3"/>
      <c r="G843" s="3"/>
      <c r="H843" s="3"/>
      <c r="I843" s="3"/>
      <c r="J843" s="3"/>
    </row>
    <row r="844" spans="4:10" s="22" customFormat="1" x14ac:dyDescent="0.35">
      <c r="D844" s="3"/>
      <c r="E844" s="3"/>
      <c r="F844" s="3"/>
      <c r="G844" s="3"/>
      <c r="H844" s="3"/>
      <c r="I844" s="3"/>
      <c r="J844" s="3"/>
    </row>
    <row r="845" spans="4:10" s="22" customFormat="1" x14ac:dyDescent="0.35">
      <c r="D845" s="3"/>
      <c r="E845" s="3"/>
      <c r="F845" s="3"/>
      <c r="G845" s="3"/>
      <c r="H845" s="3"/>
      <c r="I845" s="3"/>
      <c r="J845" s="3"/>
    </row>
    <row r="846" spans="4:10" s="22" customFormat="1" x14ac:dyDescent="0.35">
      <c r="D846" s="3"/>
      <c r="E846" s="3"/>
      <c r="F846" s="3"/>
      <c r="G846" s="3"/>
      <c r="H846" s="3"/>
      <c r="I846" s="3"/>
      <c r="J846" s="3"/>
    </row>
    <row r="847" spans="4:10" s="22" customFormat="1" x14ac:dyDescent="0.35">
      <c r="D847" s="3"/>
      <c r="E847" s="3"/>
      <c r="F847" s="3"/>
      <c r="G847" s="3"/>
      <c r="H847" s="3"/>
      <c r="I847" s="3"/>
      <c r="J847" s="3"/>
    </row>
    <row r="848" spans="4:10" s="22" customFormat="1" x14ac:dyDescent="0.35">
      <c r="D848" s="3"/>
      <c r="E848" s="3"/>
      <c r="F848" s="3"/>
      <c r="G848" s="3"/>
      <c r="H848" s="3"/>
      <c r="I848" s="3"/>
      <c r="J848" s="3"/>
    </row>
    <row r="849" spans="4:10" s="22" customFormat="1" x14ac:dyDescent="0.35">
      <c r="D849" s="3"/>
      <c r="E849" s="3"/>
      <c r="F849" s="3"/>
      <c r="G849" s="3"/>
      <c r="H849" s="3"/>
      <c r="I849" s="3"/>
      <c r="J849" s="3"/>
    </row>
    <row r="850" spans="4:10" s="22" customFormat="1" x14ac:dyDescent="0.35">
      <c r="D850" s="3"/>
      <c r="E850" s="3"/>
      <c r="F850" s="3"/>
      <c r="G850" s="3"/>
      <c r="H850" s="3"/>
      <c r="I850" s="3"/>
      <c r="J850" s="3"/>
    </row>
    <row r="851" spans="4:10" s="22" customFormat="1" x14ac:dyDescent="0.35">
      <c r="D851" s="3"/>
      <c r="E851" s="3"/>
      <c r="F851" s="3"/>
      <c r="G851" s="3"/>
      <c r="H851" s="3"/>
      <c r="I851" s="3"/>
      <c r="J851" s="3"/>
    </row>
    <row r="852" spans="4:10" s="22" customFormat="1" x14ac:dyDescent="0.35">
      <c r="D852" s="3"/>
      <c r="E852" s="3"/>
      <c r="F852" s="3"/>
      <c r="G852" s="3"/>
      <c r="H852" s="3"/>
      <c r="I852" s="3"/>
      <c r="J852" s="3"/>
    </row>
    <row r="853" spans="4:10" s="22" customFormat="1" x14ac:dyDescent="0.35">
      <c r="D853" s="3"/>
      <c r="E853" s="3"/>
      <c r="F853" s="3"/>
      <c r="G853" s="3"/>
      <c r="H853" s="3"/>
      <c r="I853" s="3"/>
      <c r="J853" s="3"/>
    </row>
    <row r="854" spans="4:10" s="22" customFormat="1" x14ac:dyDescent="0.35">
      <c r="D854" s="3"/>
      <c r="E854" s="3"/>
      <c r="F854" s="3"/>
      <c r="G854" s="3"/>
      <c r="H854" s="3"/>
      <c r="I854" s="3"/>
      <c r="J854" s="3"/>
    </row>
    <row r="855" spans="4:10" s="22" customFormat="1" x14ac:dyDescent="0.35">
      <c r="D855" s="3"/>
      <c r="E855" s="3"/>
      <c r="F855" s="3"/>
      <c r="G855" s="3"/>
      <c r="H855" s="3"/>
      <c r="I855" s="3"/>
      <c r="J855" s="3"/>
    </row>
    <row r="856" spans="4:10" s="22" customFormat="1" x14ac:dyDescent="0.35">
      <c r="D856" s="3"/>
      <c r="E856" s="3"/>
      <c r="F856" s="3"/>
      <c r="G856" s="3"/>
      <c r="H856" s="3"/>
      <c r="I856" s="3"/>
      <c r="J856" s="3"/>
    </row>
    <row r="857" spans="4:10" s="22" customFormat="1" x14ac:dyDescent="0.35">
      <c r="D857" s="3"/>
      <c r="E857" s="3"/>
      <c r="F857" s="3"/>
      <c r="G857" s="3"/>
      <c r="H857" s="3"/>
      <c r="I857" s="3"/>
      <c r="J857" s="3"/>
    </row>
    <row r="858" spans="4:10" s="22" customFormat="1" x14ac:dyDescent="0.35">
      <c r="D858" s="3"/>
      <c r="E858" s="3"/>
      <c r="F858" s="3"/>
      <c r="G858" s="3"/>
      <c r="H858" s="3"/>
      <c r="I858" s="3"/>
      <c r="J858" s="3"/>
    </row>
    <row r="859" spans="4:10" s="22" customFormat="1" x14ac:dyDescent="0.35">
      <c r="D859" s="3"/>
      <c r="E859" s="3"/>
      <c r="F859" s="3"/>
      <c r="G859" s="3"/>
      <c r="H859" s="3"/>
      <c r="I859" s="3"/>
      <c r="J859" s="3"/>
    </row>
    <row r="860" spans="4:10" s="22" customFormat="1" x14ac:dyDescent="0.35">
      <c r="D860" s="3"/>
      <c r="E860" s="3"/>
      <c r="F860" s="3"/>
      <c r="G860" s="3"/>
      <c r="H860" s="3"/>
      <c r="I860" s="3"/>
      <c r="J860" s="3"/>
    </row>
    <row r="861" spans="4:10" s="22" customFormat="1" x14ac:dyDescent="0.35">
      <c r="D861" s="3"/>
      <c r="E861" s="3"/>
      <c r="F861" s="3"/>
      <c r="G861" s="3"/>
      <c r="H861" s="3"/>
      <c r="I861" s="3"/>
      <c r="J861" s="3"/>
    </row>
    <row r="862" spans="4:10" s="22" customFormat="1" x14ac:dyDescent="0.35">
      <c r="D862" s="3"/>
      <c r="E862" s="3"/>
      <c r="F862" s="3"/>
      <c r="G862" s="3"/>
      <c r="H862" s="3"/>
      <c r="I862" s="3"/>
      <c r="J862" s="3"/>
    </row>
    <row r="863" spans="4:10" s="22" customFormat="1" x14ac:dyDescent="0.35">
      <c r="D863" s="3"/>
      <c r="E863" s="3"/>
      <c r="F863" s="3"/>
      <c r="G863" s="3"/>
      <c r="H863" s="3"/>
      <c r="I863" s="3"/>
      <c r="J863" s="3"/>
    </row>
    <row r="864" spans="4:10" s="22" customFormat="1" x14ac:dyDescent="0.35">
      <c r="D864" s="3"/>
      <c r="E864" s="3"/>
      <c r="F864" s="3"/>
      <c r="G864" s="3"/>
      <c r="H864" s="3"/>
      <c r="I864" s="3"/>
      <c r="J864" s="3"/>
    </row>
    <row r="865" spans="4:10" s="22" customFormat="1" x14ac:dyDescent="0.35">
      <c r="D865" s="3"/>
      <c r="E865" s="3"/>
      <c r="F865" s="3"/>
      <c r="G865" s="3"/>
      <c r="H865" s="3"/>
      <c r="I865" s="3"/>
      <c r="J865" s="3"/>
    </row>
    <row r="866" spans="4:10" s="22" customFormat="1" x14ac:dyDescent="0.35">
      <c r="D866" s="3"/>
      <c r="E866" s="3"/>
      <c r="F866" s="3"/>
      <c r="G866" s="3"/>
      <c r="H866" s="3"/>
      <c r="I866" s="3"/>
      <c r="J866" s="3"/>
    </row>
    <row r="867" spans="4:10" s="22" customFormat="1" x14ac:dyDescent="0.35">
      <c r="D867" s="3"/>
      <c r="E867" s="3"/>
      <c r="F867" s="3"/>
      <c r="G867" s="3"/>
      <c r="H867" s="3"/>
      <c r="I867" s="3"/>
      <c r="J867" s="3"/>
    </row>
    <row r="868" spans="4:10" s="22" customFormat="1" x14ac:dyDescent="0.35">
      <c r="D868" s="3"/>
      <c r="E868" s="3"/>
      <c r="F868" s="3"/>
      <c r="G868" s="3"/>
      <c r="H868" s="3"/>
      <c r="I868" s="3"/>
      <c r="J868" s="3"/>
    </row>
    <row r="869" spans="4:10" s="22" customFormat="1" x14ac:dyDescent="0.35">
      <c r="D869" s="3"/>
      <c r="E869" s="3"/>
      <c r="F869" s="3"/>
      <c r="G869" s="3"/>
      <c r="H869" s="3"/>
      <c r="I869" s="3"/>
      <c r="J869" s="3"/>
    </row>
    <row r="870" spans="4:10" s="22" customFormat="1" x14ac:dyDescent="0.35">
      <c r="D870" s="3"/>
      <c r="E870" s="3"/>
      <c r="F870" s="3"/>
      <c r="G870" s="3"/>
      <c r="H870" s="3"/>
      <c r="I870" s="3"/>
      <c r="J870" s="3"/>
    </row>
    <row r="871" spans="4:10" s="22" customFormat="1" x14ac:dyDescent="0.35">
      <c r="D871" s="3"/>
      <c r="E871" s="3"/>
      <c r="F871" s="3"/>
      <c r="G871" s="3"/>
      <c r="H871" s="3"/>
      <c r="I871" s="3"/>
      <c r="J871" s="3"/>
    </row>
    <row r="872" spans="4:10" s="22" customFormat="1" x14ac:dyDescent="0.35">
      <c r="D872" s="3"/>
      <c r="E872" s="3"/>
      <c r="F872" s="3"/>
      <c r="G872" s="3"/>
      <c r="H872" s="3"/>
      <c r="I872" s="3"/>
      <c r="J872" s="3"/>
    </row>
    <row r="873" spans="4:10" s="22" customFormat="1" x14ac:dyDescent="0.35">
      <c r="D873" s="3"/>
      <c r="E873" s="3"/>
      <c r="F873" s="3"/>
      <c r="G873" s="3"/>
      <c r="H873" s="3"/>
      <c r="I873" s="3"/>
      <c r="J873" s="3"/>
    </row>
    <row r="874" spans="4:10" s="22" customFormat="1" x14ac:dyDescent="0.35">
      <c r="D874" s="3"/>
      <c r="E874" s="3"/>
      <c r="F874" s="3"/>
      <c r="G874" s="3"/>
      <c r="H874" s="3"/>
      <c r="I874" s="3"/>
      <c r="J874" s="3"/>
    </row>
    <row r="875" spans="4:10" s="22" customFormat="1" x14ac:dyDescent="0.35">
      <c r="D875" s="3"/>
      <c r="E875" s="3"/>
      <c r="F875" s="3"/>
      <c r="G875" s="3"/>
      <c r="H875" s="3"/>
      <c r="I875" s="3"/>
      <c r="J875" s="3"/>
    </row>
    <row r="876" spans="4:10" s="22" customFormat="1" x14ac:dyDescent="0.35">
      <c r="D876" s="3"/>
      <c r="E876" s="3"/>
      <c r="F876" s="3"/>
      <c r="G876" s="3"/>
      <c r="H876" s="3"/>
      <c r="I876" s="3"/>
      <c r="J876" s="3"/>
    </row>
    <row r="877" spans="4:10" s="22" customFormat="1" x14ac:dyDescent="0.35">
      <c r="D877" s="3"/>
      <c r="E877" s="3"/>
      <c r="F877" s="3"/>
      <c r="G877" s="3"/>
      <c r="H877" s="3"/>
      <c r="I877" s="3"/>
      <c r="J877" s="3"/>
    </row>
    <row r="878" spans="4:10" s="22" customFormat="1" x14ac:dyDescent="0.35">
      <c r="D878" s="3"/>
      <c r="E878" s="3"/>
      <c r="F878" s="3"/>
      <c r="G878" s="3"/>
      <c r="H878" s="3"/>
      <c r="I878" s="3"/>
      <c r="J878" s="3"/>
    </row>
    <row r="879" spans="4:10" s="22" customFormat="1" x14ac:dyDescent="0.35">
      <c r="D879" s="3"/>
      <c r="E879" s="3"/>
      <c r="F879" s="3"/>
      <c r="G879" s="3"/>
      <c r="H879" s="3"/>
      <c r="I879" s="3"/>
      <c r="J879" s="3"/>
    </row>
    <row r="880" spans="4:10" s="22" customFormat="1" x14ac:dyDescent="0.35">
      <c r="D880" s="3"/>
      <c r="E880" s="3"/>
      <c r="F880" s="3"/>
      <c r="G880" s="3"/>
      <c r="H880" s="3"/>
      <c r="I880" s="3"/>
      <c r="J880" s="3"/>
    </row>
    <row r="881" spans="4:10" s="22" customFormat="1" x14ac:dyDescent="0.35">
      <c r="D881" s="3"/>
      <c r="E881" s="3"/>
      <c r="F881" s="3"/>
      <c r="G881" s="3"/>
      <c r="H881" s="3"/>
      <c r="I881" s="3"/>
      <c r="J881" s="3"/>
    </row>
    <row r="882" spans="4:10" s="22" customFormat="1" x14ac:dyDescent="0.35">
      <c r="D882" s="3"/>
      <c r="E882" s="3"/>
      <c r="F882" s="3"/>
      <c r="G882" s="3"/>
      <c r="H882" s="3"/>
      <c r="I882" s="3"/>
      <c r="J882" s="3"/>
    </row>
    <row r="883" spans="4:10" s="22" customFormat="1" x14ac:dyDescent="0.35">
      <c r="D883" s="3"/>
      <c r="E883" s="3"/>
      <c r="F883" s="3"/>
      <c r="G883" s="3"/>
      <c r="H883" s="3"/>
      <c r="I883" s="3"/>
      <c r="J883" s="3"/>
    </row>
    <row r="884" spans="4:10" s="22" customFormat="1" x14ac:dyDescent="0.35">
      <c r="D884" s="3"/>
      <c r="E884" s="3"/>
      <c r="F884" s="3"/>
      <c r="G884" s="3"/>
      <c r="H884" s="3"/>
      <c r="I884" s="3"/>
      <c r="J884" s="3"/>
    </row>
    <row r="885" spans="4:10" s="22" customFormat="1" x14ac:dyDescent="0.35">
      <c r="D885" s="3"/>
      <c r="E885" s="3"/>
      <c r="F885" s="3"/>
      <c r="G885" s="3"/>
      <c r="H885" s="3"/>
      <c r="I885" s="3"/>
      <c r="J885" s="3"/>
    </row>
    <row r="886" spans="4:10" s="22" customFormat="1" x14ac:dyDescent="0.35">
      <c r="D886" s="3" t="s">
        <v>267</v>
      </c>
      <c r="E886" s="3"/>
      <c r="F886" s="3"/>
      <c r="G886" s="3"/>
      <c r="H886" s="3"/>
      <c r="I886" s="3"/>
      <c r="J886" s="3"/>
    </row>
    <row r="887" spans="4:10" s="22" customFormat="1" x14ac:dyDescent="0.35">
      <c r="D887" s="3"/>
      <c r="E887" s="3"/>
      <c r="F887" s="3"/>
      <c r="G887" s="3"/>
      <c r="H887" s="3"/>
      <c r="I887" s="3"/>
      <c r="J887" s="3"/>
    </row>
    <row r="888" spans="4:10" s="22" customFormat="1" x14ac:dyDescent="0.35">
      <c r="D888" s="3"/>
      <c r="E888" s="3"/>
      <c r="F888" s="3"/>
      <c r="G888" s="3"/>
      <c r="H888" s="3"/>
      <c r="I888" s="3"/>
      <c r="J888" s="3"/>
    </row>
    <row r="889" spans="4:10" s="22" customFormat="1" x14ac:dyDescent="0.35">
      <c r="D889" s="3"/>
      <c r="E889" s="3"/>
      <c r="F889" s="3"/>
      <c r="G889" s="3"/>
      <c r="H889" s="3"/>
      <c r="I889" s="3"/>
      <c r="J889" s="3"/>
    </row>
    <row r="890" spans="4:10" s="22" customFormat="1" x14ac:dyDescent="0.35">
      <c r="D890" s="3"/>
      <c r="E890" s="3"/>
      <c r="F890" s="3"/>
      <c r="G890" s="3"/>
      <c r="H890" s="3"/>
      <c r="I890" s="3"/>
      <c r="J890" s="3"/>
    </row>
    <row r="891" spans="4:10" s="22" customFormat="1" x14ac:dyDescent="0.35">
      <c r="D891" s="3"/>
      <c r="E891" s="3"/>
      <c r="F891" s="3"/>
      <c r="G891" s="3"/>
      <c r="H891" s="3"/>
      <c r="I891" s="3"/>
      <c r="J891" s="3"/>
    </row>
    <row r="892" spans="4:10" s="22" customFormat="1" x14ac:dyDescent="0.35">
      <c r="D892" s="3"/>
      <c r="E892" s="3"/>
      <c r="F892" s="3"/>
      <c r="G892" s="3"/>
      <c r="H892" s="3"/>
      <c r="I892" s="3"/>
      <c r="J892" s="3"/>
    </row>
    <row r="893" spans="4:10" s="22" customFormat="1" x14ac:dyDescent="0.35">
      <c r="D893" s="3"/>
      <c r="E893" s="3"/>
      <c r="F893" s="3"/>
      <c r="G893" s="3"/>
      <c r="H893" s="3"/>
      <c r="I893" s="3"/>
      <c r="J893" s="3"/>
    </row>
    <row r="894" spans="4:10" s="22" customFormat="1" x14ac:dyDescent="0.35">
      <c r="D894" s="3"/>
      <c r="E894" s="3"/>
      <c r="F894" s="3"/>
      <c r="G894" s="3"/>
      <c r="H894" s="3"/>
      <c r="I894" s="3"/>
      <c r="J894" s="3"/>
    </row>
    <row r="895" spans="4:10" s="22" customFormat="1" x14ac:dyDescent="0.35">
      <c r="D895" s="3"/>
      <c r="E895" s="3"/>
      <c r="F895" s="3"/>
      <c r="G895" s="3"/>
      <c r="H895" s="3"/>
      <c r="I895" s="3"/>
      <c r="J895" s="3"/>
    </row>
    <row r="896" spans="4:10" s="22" customFormat="1" x14ac:dyDescent="0.35">
      <c r="D896" s="3"/>
      <c r="E896" s="3"/>
      <c r="F896" s="3"/>
      <c r="G896" s="3"/>
      <c r="H896" s="3"/>
      <c r="I896" s="3"/>
      <c r="J896" s="3"/>
    </row>
    <row r="897" spans="4:10" s="22" customFormat="1" x14ac:dyDescent="0.35">
      <c r="D897" s="3"/>
      <c r="E897" s="3"/>
      <c r="F897" s="3"/>
      <c r="G897" s="3"/>
      <c r="H897" s="3"/>
      <c r="I897" s="3"/>
      <c r="J897" s="3"/>
    </row>
    <row r="898" spans="4:10" s="22" customFormat="1" x14ac:dyDescent="0.35">
      <c r="D898" s="3"/>
      <c r="E898" s="3"/>
      <c r="F898" s="3"/>
      <c r="G898" s="3"/>
      <c r="H898" s="3"/>
      <c r="I898" s="3"/>
      <c r="J898" s="3"/>
    </row>
    <row r="899" spans="4:10" s="22" customFormat="1" x14ac:dyDescent="0.35">
      <c r="D899" s="3"/>
      <c r="E899" s="3"/>
      <c r="F899" s="3"/>
      <c r="G899" s="3"/>
      <c r="H899" s="3"/>
      <c r="I899" s="3"/>
      <c r="J899" s="3"/>
    </row>
    <row r="900" spans="4:10" s="22" customFormat="1" x14ac:dyDescent="0.35">
      <c r="D900" s="3"/>
      <c r="E900" s="3"/>
      <c r="F900" s="3"/>
      <c r="G900" s="3"/>
      <c r="H900" s="3"/>
      <c r="I900" s="3"/>
      <c r="J900" s="3"/>
    </row>
    <row r="901" spans="4:10" s="22" customFormat="1" x14ac:dyDescent="0.35">
      <c r="D901" s="3"/>
      <c r="E901" s="3"/>
      <c r="F901" s="3"/>
      <c r="G901" s="3"/>
      <c r="H901" s="3"/>
      <c r="I901" s="3"/>
      <c r="J901" s="3"/>
    </row>
    <row r="902" spans="4:10" s="22" customFormat="1" x14ac:dyDescent="0.35">
      <c r="D902" s="3"/>
      <c r="E902" s="3"/>
      <c r="F902" s="3"/>
      <c r="G902" s="3"/>
      <c r="H902" s="3"/>
      <c r="I902" s="3"/>
      <c r="J902" s="3"/>
    </row>
    <row r="903" spans="4:10" s="22" customFormat="1" x14ac:dyDescent="0.35">
      <c r="D903" s="3"/>
      <c r="E903" s="3"/>
      <c r="F903" s="3"/>
      <c r="G903" s="3"/>
      <c r="H903" s="3"/>
      <c r="I903" s="3"/>
      <c r="J903" s="3"/>
    </row>
    <row r="904" spans="4:10" s="22" customFormat="1" x14ac:dyDescent="0.35">
      <c r="D904" s="3"/>
      <c r="E904" s="3"/>
      <c r="F904" s="3"/>
      <c r="G904" s="3"/>
      <c r="H904" s="3"/>
      <c r="I904" s="3"/>
      <c r="J904" s="3"/>
    </row>
    <row r="905" spans="4:10" s="22" customFormat="1" x14ac:dyDescent="0.35">
      <c r="D905" s="3"/>
      <c r="E905" s="3"/>
      <c r="F905" s="3"/>
      <c r="G905" s="3"/>
      <c r="H905" s="3"/>
      <c r="I905" s="3"/>
      <c r="J905" s="3"/>
    </row>
    <row r="906" spans="4:10" s="22" customFormat="1" x14ac:dyDescent="0.35">
      <c r="D906" s="3"/>
      <c r="E906" s="3"/>
      <c r="F906" s="3"/>
      <c r="G906" s="3"/>
      <c r="H906" s="3"/>
      <c r="I906" s="3"/>
      <c r="J906" s="3"/>
    </row>
    <row r="907" spans="4:10" s="22" customFormat="1" x14ac:dyDescent="0.35">
      <c r="D907" s="3"/>
      <c r="E907" s="3"/>
      <c r="F907" s="3"/>
      <c r="G907" s="3"/>
      <c r="H907" s="3"/>
      <c r="I907" s="3"/>
      <c r="J907" s="3"/>
    </row>
    <row r="908" spans="4:10" s="22" customFormat="1" x14ac:dyDescent="0.35">
      <c r="D908" s="3"/>
      <c r="E908" s="3"/>
      <c r="F908" s="3"/>
      <c r="G908" s="3"/>
      <c r="H908" s="3"/>
      <c r="I908" s="3"/>
      <c r="J908" s="3"/>
    </row>
    <row r="909" spans="4:10" s="22" customFormat="1" x14ac:dyDescent="0.35">
      <c r="D909" s="3"/>
      <c r="E909" s="3"/>
      <c r="F909" s="3"/>
      <c r="G909" s="3"/>
      <c r="H909" s="3"/>
      <c r="I909" s="3"/>
      <c r="J909" s="3"/>
    </row>
    <row r="910" spans="4:10" s="22" customFormat="1" x14ac:dyDescent="0.35">
      <c r="D910" s="3"/>
      <c r="E910" s="3"/>
      <c r="F910" s="3"/>
      <c r="G910" s="3"/>
      <c r="H910" s="3"/>
      <c r="I910" s="3"/>
      <c r="J910" s="3"/>
    </row>
    <row r="911" spans="4:10" s="22" customFormat="1" x14ac:dyDescent="0.35">
      <c r="D911" s="3"/>
      <c r="E911" s="3"/>
      <c r="F911" s="3"/>
      <c r="G911" s="3"/>
      <c r="H911" s="3"/>
      <c r="I911" s="3"/>
      <c r="J911" s="3"/>
    </row>
    <row r="912" spans="4:10" s="22" customFormat="1" x14ac:dyDescent="0.35">
      <c r="D912" s="3"/>
      <c r="E912" s="3"/>
      <c r="F912" s="3"/>
      <c r="G912" s="3"/>
      <c r="H912" s="3"/>
      <c r="I912" s="3"/>
      <c r="J912" s="3"/>
    </row>
    <row r="913" spans="4:10" s="22" customFormat="1" x14ac:dyDescent="0.35">
      <c r="D913" s="3"/>
      <c r="E913" s="3"/>
      <c r="F913" s="3"/>
      <c r="G913" s="3"/>
      <c r="H913" s="3"/>
      <c r="I913" s="3"/>
      <c r="J913" s="3"/>
    </row>
    <row r="914" spans="4:10" s="22" customFormat="1" x14ac:dyDescent="0.35">
      <c r="D914" s="3"/>
      <c r="E914" s="3"/>
      <c r="F914" s="3"/>
      <c r="G914" s="3"/>
      <c r="H914" s="3"/>
      <c r="I914" s="3"/>
      <c r="J914" s="3"/>
    </row>
    <row r="915" spans="4:10" s="22" customFormat="1" x14ac:dyDescent="0.35">
      <c r="D915" s="3"/>
      <c r="E915" s="3"/>
      <c r="F915" s="3"/>
      <c r="G915" s="3"/>
      <c r="H915" s="3"/>
      <c r="I915" s="3"/>
      <c r="J915" s="3"/>
    </row>
    <row r="916" spans="4:10" s="22" customFormat="1" x14ac:dyDescent="0.35">
      <c r="D916" s="3"/>
      <c r="E916" s="3"/>
      <c r="F916" s="3"/>
      <c r="G916" s="3"/>
      <c r="H916" s="3"/>
      <c r="I916" s="3"/>
      <c r="J916" s="3"/>
    </row>
    <row r="917" spans="4:10" s="22" customFormat="1" x14ac:dyDescent="0.35">
      <c r="D917" s="3"/>
      <c r="E917" s="3"/>
      <c r="F917" s="3"/>
      <c r="G917" s="3"/>
      <c r="H917" s="3"/>
      <c r="I917" s="3"/>
      <c r="J917" s="3"/>
    </row>
    <row r="918" spans="4:10" s="22" customFormat="1" x14ac:dyDescent="0.35">
      <c r="D918" s="3"/>
      <c r="E918" s="3"/>
      <c r="F918" s="3"/>
      <c r="G918" s="3"/>
      <c r="H918" s="3"/>
      <c r="I918" s="3"/>
      <c r="J918" s="3"/>
    </row>
    <row r="919" spans="4:10" s="22" customFormat="1" x14ac:dyDescent="0.35">
      <c r="D919" s="3"/>
      <c r="E919" s="3"/>
      <c r="F919" s="3"/>
      <c r="G919" s="3"/>
      <c r="H919" s="3"/>
      <c r="I919" s="3"/>
      <c r="J919" s="3"/>
    </row>
    <row r="920" spans="4:10" s="22" customFormat="1" x14ac:dyDescent="0.35">
      <c r="D920" s="3"/>
      <c r="E920" s="3"/>
      <c r="F920" s="3"/>
      <c r="G920" s="3"/>
      <c r="H920" s="3"/>
      <c r="I920" s="3"/>
      <c r="J920" s="3"/>
    </row>
    <row r="921" spans="4:10" s="22" customFormat="1" x14ac:dyDescent="0.35">
      <c r="D921" s="3"/>
      <c r="E921" s="3"/>
      <c r="F921" s="3"/>
      <c r="G921" s="3"/>
      <c r="H921" s="3"/>
      <c r="I921" s="3"/>
      <c r="J921" s="3"/>
    </row>
    <row r="922" spans="4:10" s="22" customFormat="1" x14ac:dyDescent="0.35">
      <c r="D922" s="3" t="s">
        <v>268</v>
      </c>
      <c r="E922" s="3"/>
      <c r="F922" s="3"/>
      <c r="G922" s="3"/>
      <c r="H922" s="3"/>
      <c r="I922" s="3"/>
      <c r="J922" s="3"/>
    </row>
    <row r="923" spans="4:10" s="22" customFormat="1" x14ac:dyDescent="0.35">
      <c r="D923" s="3"/>
      <c r="E923" s="3"/>
      <c r="F923" s="3"/>
      <c r="G923" s="3"/>
      <c r="H923" s="3"/>
      <c r="I923" s="3"/>
      <c r="J923" s="3"/>
    </row>
    <row r="924" spans="4:10" s="22" customFormat="1" x14ac:dyDescent="0.35">
      <c r="D924" s="3"/>
      <c r="E924" s="3"/>
      <c r="F924" s="3"/>
      <c r="G924" s="3"/>
      <c r="H924" s="3"/>
      <c r="I924" s="3"/>
      <c r="J924" s="3"/>
    </row>
    <row r="925" spans="4:10" s="22" customFormat="1" x14ac:dyDescent="0.35">
      <c r="D925" s="3"/>
      <c r="E925" s="3"/>
      <c r="F925" s="3"/>
      <c r="G925" s="3"/>
      <c r="H925" s="3"/>
      <c r="I925" s="3"/>
      <c r="J925" s="3"/>
    </row>
    <row r="926" spans="4:10" s="22" customFormat="1" x14ac:dyDescent="0.35">
      <c r="D926" s="3"/>
      <c r="E926" s="3"/>
      <c r="F926" s="3"/>
      <c r="G926" s="3"/>
      <c r="H926" s="3"/>
      <c r="I926" s="3"/>
      <c r="J926" s="3"/>
    </row>
    <row r="927" spans="4:10" s="22" customFormat="1" x14ac:dyDescent="0.35">
      <c r="D927" s="3"/>
      <c r="E927" s="3"/>
      <c r="F927" s="3"/>
      <c r="G927" s="3"/>
      <c r="H927" s="3"/>
      <c r="I927" s="3"/>
      <c r="J927" s="3"/>
    </row>
    <row r="928" spans="4:10" s="22" customFormat="1" x14ac:dyDescent="0.35">
      <c r="D928" s="3"/>
      <c r="E928" s="3"/>
      <c r="F928" s="3"/>
      <c r="G928" s="3"/>
      <c r="H928" s="3"/>
      <c r="I928" s="3"/>
      <c r="J928" s="3"/>
    </row>
    <row r="929" spans="4:10" s="22" customFormat="1" x14ac:dyDescent="0.35">
      <c r="D929" s="3"/>
      <c r="E929" s="3"/>
      <c r="F929" s="3"/>
      <c r="G929" s="3"/>
      <c r="H929" s="3"/>
      <c r="I929" s="3"/>
      <c r="J929" s="3"/>
    </row>
    <row r="930" spans="4:10" s="22" customFormat="1" x14ac:dyDescent="0.35">
      <c r="D930" s="3"/>
      <c r="E930" s="3"/>
      <c r="F930" s="3"/>
      <c r="G930" s="3"/>
      <c r="H930" s="3"/>
      <c r="I930" s="3"/>
      <c r="J930" s="3"/>
    </row>
    <row r="931" spans="4:10" s="22" customFormat="1" x14ac:dyDescent="0.35">
      <c r="D931" s="3"/>
      <c r="E931" s="3"/>
      <c r="F931" s="3"/>
      <c r="G931" s="3"/>
      <c r="H931" s="3"/>
      <c r="I931" s="3"/>
      <c r="J931" s="3"/>
    </row>
    <row r="932" spans="4:10" s="22" customFormat="1" x14ac:dyDescent="0.35">
      <c r="D932" s="3"/>
      <c r="E932" s="3"/>
      <c r="F932" s="3"/>
      <c r="G932" s="3"/>
      <c r="H932" s="3"/>
      <c r="I932" s="3"/>
      <c r="J932" s="3"/>
    </row>
    <row r="933" spans="4:10" s="22" customFormat="1" x14ac:dyDescent="0.35">
      <c r="D933" s="3"/>
      <c r="E933" s="3"/>
      <c r="F933" s="3"/>
      <c r="G933" s="3"/>
      <c r="H933" s="3"/>
      <c r="I933" s="3"/>
      <c r="J933" s="3"/>
    </row>
    <row r="934" spans="4:10" s="22" customFormat="1" x14ac:dyDescent="0.35">
      <c r="D934" s="3"/>
      <c r="E934" s="3"/>
      <c r="F934" s="3"/>
      <c r="G934" s="3"/>
      <c r="H934" s="3"/>
      <c r="I934" s="3"/>
      <c r="J934" s="3"/>
    </row>
    <row r="935" spans="4:10" s="22" customFormat="1" x14ac:dyDescent="0.35">
      <c r="D935" s="3"/>
      <c r="E935" s="3"/>
      <c r="F935" s="3"/>
      <c r="G935" s="3"/>
      <c r="H935" s="3"/>
      <c r="I935" s="3"/>
      <c r="J935" s="3"/>
    </row>
    <row r="936" spans="4:10" s="22" customFormat="1" x14ac:dyDescent="0.35">
      <c r="D936" s="3"/>
      <c r="E936" s="3"/>
      <c r="F936" s="3"/>
      <c r="G936" s="3"/>
      <c r="H936" s="3"/>
      <c r="I936" s="3"/>
      <c r="J936" s="3"/>
    </row>
    <row r="937" spans="4:10" s="22" customFormat="1" x14ac:dyDescent="0.35">
      <c r="D937" s="3"/>
      <c r="E937" s="3"/>
      <c r="F937" s="3"/>
      <c r="G937" s="3"/>
      <c r="H937" s="3"/>
      <c r="I937" s="3"/>
      <c r="J937" s="3"/>
    </row>
    <row r="938" spans="4:10" s="22" customFormat="1" x14ac:dyDescent="0.35">
      <c r="D938" s="3"/>
      <c r="E938" s="3"/>
      <c r="F938" s="3"/>
      <c r="G938" s="3"/>
      <c r="H938" s="3"/>
      <c r="I938" s="3"/>
      <c r="J938" s="3"/>
    </row>
    <row r="939" spans="4:10" s="22" customFormat="1" x14ac:dyDescent="0.35">
      <c r="D939" s="3"/>
      <c r="E939" s="3"/>
      <c r="F939" s="3"/>
      <c r="G939" s="3"/>
      <c r="H939" s="3"/>
      <c r="I939" s="3"/>
      <c r="J939" s="3"/>
    </row>
    <row r="940" spans="4:10" s="22" customFormat="1" x14ac:dyDescent="0.35">
      <c r="D940" s="3"/>
      <c r="E940" s="3"/>
      <c r="F940" s="3"/>
      <c r="G940" s="3"/>
      <c r="H940" s="3"/>
      <c r="I940" s="3"/>
      <c r="J940" s="3"/>
    </row>
    <row r="941" spans="4:10" s="22" customFormat="1" x14ac:dyDescent="0.35">
      <c r="D941" s="3"/>
      <c r="E941" s="3"/>
      <c r="F941" s="3"/>
      <c r="G941" s="3"/>
      <c r="H941" s="3"/>
      <c r="I941" s="3"/>
      <c r="J941" s="3"/>
    </row>
    <row r="942" spans="4:10" s="22" customFormat="1" x14ac:dyDescent="0.35">
      <c r="D942" s="3"/>
      <c r="E942" s="3"/>
      <c r="F942" s="3"/>
      <c r="G942" s="3"/>
      <c r="H942" s="3"/>
      <c r="I942" s="3"/>
      <c r="J942" s="3"/>
    </row>
    <row r="943" spans="4:10" s="22" customFormat="1" x14ac:dyDescent="0.35">
      <c r="D943" s="3"/>
      <c r="E943" s="3"/>
      <c r="F943" s="3"/>
      <c r="G943" s="3"/>
      <c r="H943" s="3"/>
      <c r="I943" s="3"/>
      <c r="J943" s="3"/>
    </row>
    <row r="944" spans="4:10" s="22" customFormat="1" x14ac:dyDescent="0.35">
      <c r="D944" s="3"/>
      <c r="E944" s="3"/>
      <c r="F944" s="3"/>
      <c r="G944" s="3"/>
      <c r="H944" s="3"/>
      <c r="I944" s="3"/>
      <c r="J944" s="3"/>
    </row>
    <row r="945" spans="4:10" s="22" customFormat="1" x14ac:dyDescent="0.35">
      <c r="D945" s="3"/>
      <c r="E945" s="3"/>
      <c r="F945" s="3"/>
      <c r="G945" s="3"/>
      <c r="H945" s="3"/>
      <c r="I945" s="3"/>
      <c r="J945" s="3"/>
    </row>
    <row r="946" spans="4:10" s="22" customFormat="1" x14ac:dyDescent="0.35">
      <c r="D946" s="3"/>
      <c r="E946" s="3"/>
      <c r="F946" s="3"/>
      <c r="G946" s="3"/>
      <c r="H946" s="3"/>
      <c r="I946" s="3"/>
      <c r="J946" s="3"/>
    </row>
    <row r="947" spans="4:10" s="22" customFormat="1" x14ac:dyDescent="0.35">
      <c r="D947" s="3"/>
      <c r="E947" s="3"/>
      <c r="F947" s="3"/>
      <c r="G947" s="3"/>
      <c r="H947" s="3"/>
      <c r="I947" s="3"/>
      <c r="J947" s="3"/>
    </row>
    <row r="948" spans="4:10" s="22" customFormat="1" x14ac:dyDescent="0.35">
      <c r="D948" s="3"/>
      <c r="E948" s="3"/>
      <c r="F948" s="3"/>
      <c r="G948" s="3"/>
      <c r="H948" s="3"/>
      <c r="I948" s="3"/>
      <c r="J948" s="3"/>
    </row>
    <row r="949" spans="4:10" s="22" customFormat="1" x14ac:dyDescent="0.35">
      <c r="D949" s="3"/>
      <c r="E949" s="3"/>
      <c r="F949" s="3"/>
      <c r="G949" s="3"/>
      <c r="H949" s="3"/>
      <c r="I949" s="3"/>
      <c r="J949" s="3"/>
    </row>
    <row r="950" spans="4:10" s="22" customFormat="1" x14ac:dyDescent="0.35">
      <c r="D950" s="3"/>
      <c r="E950" s="3"/>
      <c r="F950" s="3"/>
      <c r="G950" s="3"/>
      <c r="H950" s="3"/>
      <c r="I950" s="3"/>
      <c r="J950" s="3"/>
    </row>
    <row r="951" spans="4:10" s="22" customFormat="1" x14ac:dyDescent="0.35">
      <c r="D951" s="3"/>
      <c r="E951" s="3"/>
      <c r="F951" s="3"/>
      <c r="G951" s="3"/>
      <c r="H951" s="3"/>
      <c r="I951" s="3"/>
      <c r="J951" s="3"/>
    </row>
    <row r="952" spans="4:10" s="22" customFormat="1" x14ac:dyDescent="0.35">
      <c r="D952" s="3"/>
      <c r="E952" s="3"/>
      <c r="F952" s="3"/>
      <c r="G952" s="3"/>
      <c r="H952" s="3"/>
      <c r="I952" s="3"/>
      <c r="J952" s="3"/>
    </row>
    <row r="953" spans="4:10" s="22" customFormat="1" x14ac:dyDescent="0.35">
      <c r="D953" s="3"/>
      <c r="E953" s="3"/>
      <c r="F953" s="3"/>
      <c r="G953" s="3"/>
      <c r="H953" s="3"/>
      <c r="I953" s="3"/>
      <c r="J953" s="3"/>
    </row>
    <row r="954" spans="4:10" s="22" customFormat="1" x14ac:dyDescent="0.35">
      <c r="D954" s="3"/>
      <c r="E954" s="3"/>
      <c r="F954" s="3"/>
      <c r="G954" s="3"/>
      <c r="H954" s="3"/>
      <c r="I954" s="3"/>
      <c r="J954" s="3"/>
    </row>
    <row r="955" spans="4:10" s="22" customFormat="1" x14ac:dyDescent="0.35">
      <c r="D955" s="3"/>
      <c r="E955" s="3"/>
      <c r="F955" s="3"/>
      <c r="G955" s="3"/>
      <c r="H955" s="3"/>
      <c r="I955" s="3"/>
      <c r="J955" s="3"/>
    </row>
    <row r="956" spans="4:10" s="22" customFormat="1" x14ac:dyDescent="0.35">
      <c r="D956" s="3"/>
      <c r="E956" s="3"/>
      <c r="F956" s="3"/>
      <c r="G956" s="3"/>
      <c r="H956" s="3"/>
      <c r="I956" s="3"/>
      <c r="J956" s="3"/>
    </row>
    <row r="957" spans="4:10" s="22" customFormat="1" x14ac:dyDescent="0.35">
      <c r="D957" s="3"/>
      <c r="E957" s="3"/>
      <c r="F957" s="3"/>
      <c r="G957" s="3"/>
      <c r="H957" s="3"/>
      <c r="I957" s="3"/>
      <c r="J957" s="3"/>
    </row>
    <row r="958" spans="4:10" s="22" customFormat="1" x14ac:dyDescent="0.35">
      <c r="D958" s="3"/>
      <c r="E958" s="3"/>
      <c r="F958" s="3"/>
      <c r="G958" s="3"/>
      <c r="H958" s="3"/>
      <c r="I958" s="3"/>
      <c r="J958" s="3"/>
    </row>
    <row r="959" spans="4:10" s="22" customFormat="1" x14ac:dyDescent="0.35">
      <c r="D959" s="3"/>
      <c r="E959" s="3"/>
      <c r="F959" s="3"/>
      <c r="G959" s="3"/>
      <c r="H959" s="3"/>
      <c r="I959" s="3"/>
      <c r="J959" s="3"/>
    </row>
    <row r="960" spans="4:10" s="22" customFormat="1" x14ac:dyDescent="0.35">
      <c r="D960" s="3"/>
      <c r="E960" s="3"/>
      <c r="F960" s="3"/>
      <c r="G960" s="3"/>
      <c r="H960" s="3"/>
      <c r="I960" s="3"/>
      <c r="J960" s="3"/>
    </row>
    <row r="961" spans="4:10" s="22" customFormat="1" x14ac:dyDescent="0.35">
      <c r="D961" s="3"/>
      <c r="E961" s="3"/>
      <c r="F961" s="3"/>
      <c r="G961" s="3"/>
      <c r="H961" s="3"/>
      <c r="I961" s="3"/>
      <c r="J961" s="3"/>
    </row>
    <row r="962" spans="4:10" s="22" customFormat="1" x14ac:dyDescent="0.35">
      <c r="D962" s="3"/>
      <c r="E962" s="3"/>
      <c r="F962" s="3"/>
      <c r="G962" s="3"/>
      <c r="H962" s="3"/>
      <c r="I962" s="3"/>
      <c r="J962" s="3"/>
    </row>
    <row r="963" spans="4:10" s="22" customFormat="1" x14ac:dyDescent="0.35">
      <c r="D963" s="3"/>
      <c r="E963" s="3"/>
      <c r="F963" s="3"/>
      <c r="G963" s="3"/>
      <c r="H963" s="3"/>
      <c r="I963" s="3"/>
      <c r="J963" s="3"/>
    </row>
    <row r="964" spans="4:10" s="22" customFormat="1" x14ac:dyDescent="0.35">
      <c r="D964" s="3"/>
      <c r="E964" s="3"/>
      <c r="F964" s="3"/>
      <c r="G964" s="3"/>
      <c r="H964" s="3"/>
      <c r="I964" s="3"/>
      <c r="J964" s="3"/>
    </row>
    <row r="965" spans="4:10" s="22" customFormat="1" x14ac:dyDescent="0.35">
      <c r="D965" s="3"/>
      <c r="E965" s="3"/>
      <c r="F965" s="3"/>
      <c r="G965" s="3"/>
      <c r="H965" s="3"/>
      <c r="I965" s="3"/>
      <c r="J965" s="3"/>
    </row>
    <row r="966" spans="4:10" s="22" customFormat="1" x14ac:dyDescent="0.35">
      <c r="D966" s="3"/>
      <c r="E966" s="3"/>
      <c r="F966" s="3"/>
      <c r="G966" s="3"/>
      <c r="H966" s="3"/>
      <c r="I966" s="3"/>
      <c r="J966" s="3"/>
    </row>
    <row r="967" spans="4:10" s="22" customFormat="1" x14ac:dyDescent="0.35">
      <c r="D967" s="3"/>
      <c r="E967" s="3"/>
      <c r="F967" s="3"/>
      <c r="G967" s="3"/>
      <c r="H967" s="3"/>
      <c r="I967" s="3"/>
      <c r="J967" s="3"/>
    </row>
    <row r="968" spans="4:10" s="22" customFormat="1" x14ac:dyDescent="0.35">
      <c r="D968" s="3"/>
      <c r="E968" s="3"/>
      <c r="F968" s="3"/>
      <c r="G968" s="3"/>
      <c r="H968" s="3"/>
      <c r="I968" s="3"/>
      <c r="J968" s="3"/>
    </row>
    <row r="969" spans="4:10" s="22" customFormat="1" x14ac:dyDescent="0.35">
      <c r="D969" s="3"/>
      <c r="E969" s="3"/>
      <c r="F969" s="3"/>
      <c r="G969" s="3"/>
      <c r="H969" s="3"/>
      <c r="I969" s="3"/>
      <c r="J969" s="3"/>
    </row>
    <row r="970" spans="4:10" s="22" customFormat="1" x14ac:dyDescent="0.35">
      <c r="D970" s="3"/>
      <c r="E970" s="3"/>
      <c r="F970" s="3"/>
      <c r="G970" s="3"/>
      <c r="H970" s="3"/>
      <c r="I970" s="3"/>
      <c r="J970" s="3"/>
    </row>
    <row r="971" spans="4:10" s="22" customFormat="1" x14ac:dyDescent="0.35">
      <c r="D971" s="3"/>
      <c r="E971" s="3"/>
      <c r="F971" s="3"/>
      <c r="G971" s="3"/>
      <c r="H971" s="3"/>
      <c r="I971" s="3"/>
      <c r="J971" s="3"/>
    </row>
    <row r="972" spans="4:10" s="22" customFormat="1" x14ac:dyDescent="0.35">
      <c r="D972" s="3"/>
      <c r="E972" s="3"/>
      <c r="F972" s="3"/>
      <c r="G972" s="3"/>
      <c r="H972" s="3"/>
      <c r="I972" s="3"/>
      <c r="J972" s="3"/>
    </row>
    <row r="973" spans="4:10" s="22" customFormat="1" x14ac:dyDescent="0.35">
      <c r="D973" s="3"/>
      <c r="E973" s="3"/>
      <c r="F973" s="3"/>
      <c r="G973" s="3"/>
      <c r="H973" s="3"/>
      <c r="I973" s="3"/>
      <c r="J973" s="3"/>
    </row>
    <row r="974" spans="4:10" s="22" customFormat="1" x14ac:dyDescent="0.35">
      <c r="D974" s="3"/>
      <c r="E974" s="3"/>
      <c r="F974" s="3"/>
      <c r="G974" s="3"/>
      <c r="H974" s="3"/>
      <c r="I974" s="3"/>
      <c r="J974" s="3"/>
    </row>
    <row r="975" spans="4:10" s="22" customFormat="1" x14ac:dyDescent="0.35">
      <c r="D975" s="3"/>
      <c r="E975" s="3"/>
      <c r="F975" s="3"/>
      <c r="G975" s="3"/>
      <c r="H975" s="3"/>
      <c r="I975" s="3"/>
      <c r="J975" s="3"/>
    </row>
    <row r="976" spans="4:10" s="22" customFormat="1" x14ac:dyDescent="0.35">
      <c r="D976" s="3"/>
      <c r="E976" s="3"/>
      <c r="F976" s="3"/>
      <c r="G976" s="3"/>
      <c r="H976" s="3"/>
      <c r="I976" s="3"/>
      <c r="J976" s="3"/>
    </row>
    <row r="977" spans="4:10" s="22" customFormat="1" x14ac:dyDescent="0.35">
      <c r="D977" s="3"/>
      <c r="E977" s="3"/>
      <c r="F977" s="3"/>
      <c r="G977" s="3"/>
      <c r="H977" s="3"/>
      <c r="I977" s="3"/>
      <c r="J977" s="3"/>
    </row>
    <row r="978" spans="4:10" s="22" customFormat="1" x14ac:dyDescent="0.35">
      <c r="D978" s="3"/>
      <c r="E978" s="3"/>
      <c r="F978" s="3"/>
      <c r="G978" s="3"/>
      <c r="H978" s="3"/>
      <c r="I978" s="3"/>
      <c r="J978" s="3"/>
    </row>
    <row r="979" spans="4:10" s="22" customFormat="1" x14ac:dyDescent="0.35">
      <c r="D979" s="3"/>
      <c r="E979" s="3"/>
      <c r="F979" s="3"/>
      <c r="G979" s="3"/>
      <c r="H979" s="3"/>
      <c r="I979" s="3"/>
      <c r="J979" s="3"/>
    </row>
    <row r="980" spans="4:10" s="22" customFormat="1" x14ac:dyDescent="0.35">
      <c r="D980" s="3"/>
      <c r="E980" s="3"/>
      <c r="F980" s="3"/>
      <c r="G980" s="3"/>
      <c r="H980" s="3"/>
      <c r="I980" s="3"/>
      <c r="J980" s="3"/>
    </row>
    <row r="981" spans="4:10" s="22" customFormat="1" x14ac:dyDescent="0.35">
      <c r="D981" s="3"/>
      <c r="E981" s="3"/>
      <c r="F981" s="3"/>
      <c r="G981" s="3"/>
      <c r="H981" s="3"/>
      <c r="I981" s="3"/>
      <c r="J981" s="3"/>
    </row>
    <row r="982" spans="4:10" s="22" customFormat="1" x14ac:dyDescent="0.35">
      <c r="D982" s="3"/>
      <c r="E982" s="3"/>
      <c r="F982" s="3"/>
      <c r="G982" s="3"/>
      <c r="H982" s="3"/>
      <c r="I982" s="3"/>
      <c r="J982" s="3"/>
    </row>
    <row r="983" spans="4:10" s="22" customFormat="1" x14ac:dyDescent="0.35">
      <c r="D983" s="3"/>
      <c r="E983" s="3"/>
      <c r="F983" s="3"/>
      <c r="G983" s="3"/>
      <c r="H983" s="3"/>
      <c r="I983" s="3"/>
      <c r="J983" s="3"/>
    </row>
    <row r="984" spans="4:10" s="22" customFormat="1" x14ac:dyDescent="0.35">
      <c r="D984" s="3"/>
      <c r="E984" s="3"/>
      <c r="F984" s="3"/>
      <c r="G984" s="3"/>
      <c r="H984" s="3"/>
      <c r="I984" s="3"/>
      <c r="J984" s="3"/>
    </row>
    <row r="985" spans="4:10" s="22" customFormat="1" x14ac:dyDescent="0.35">
      <c r="D985" s="3"/>
      <c r="E985" s="3"/>
      <c r="F985" s="3"/>
      <c r="G985" s="3"/>
      <c r="H985" s="3"/>
      <c r="I985" s="3"/>
      <c r="J985" s="3"/>
    </row>
    <row r="986" spans="4:10" s="22" customFormat="1" x14ac:dyDescent="0.35">
      <c r="D986" s="3"/>
      <c r="E986" s="3"/>
      <c r="F986" s="3"/>
      <c r="G986" s="3"/>
      <c r="H986" s="3"/>
      <c r="I986" s="3"/>
      <c r="J986" s="3"/>
    </row>
    <row r="987" spans="4:10" s="22" customFormat="1" x14ac:dyDescent="0.35">
      <c r="D987" s="3"/>
      <c r="E987" s="3"/>
      <c r="F987" s="3"/>
      <c r="G987" s="3"/>
      <c r="H987" s="3"/>
      <c r="I987" s="3"/>
      <c r="J987" s="3"/>
    </row>
    <row r="988" spans="4:10" s="22" customFormat="1" x14ac:dyDescent="0.35">
      <c r="D988" s="3"/>
      <c r="E988" s="3"/>
      <c r="F988" s="3"/>
      <c r="G988" s="3"/>
      <c r="H988" s="3"/>
      <c r="I988" s="3"/>
      <c r="J988" s="3"/>
    </row>
    <row r="989" spans="4:10" s="22" customFormat="1" x14ac:dyDescent="0.35">
      <c r="D989" s="3"/>
      <c r="E989" s="3"/>
      <c r="F989" s="3"/>
      <c r="G989" s="3"/>
      <c r="H989" s="3"/>
      <c r="I989" s="3"/>
      <c r="J989" s="3"/>
    </row>
    <row r="990" spans="4:10" s="22" customFormat="1" x14ac:dyDescent="0.35">
      <c r="D990" s="3"/>
      <c r="E990" s="3"/>
      <c r="F990" s="3"/>
      <c r="G990" s="3"/>
      <c r="H990" s="3"/>
      <c r="I990" s="3"/>
      <c r="J990" s="3"/>
    </row>
    <row r="991" spans="4:10" s="22" customFormat="1" x14ac:dyDescent="0.35">
      <c r="D991" s="3"/>
      <c r="E991" s="3"/>
      <c r="F991" s="3"/>
      <c r="G991" s="3"/>
      <c r="H991" s="3"/>
      <c r="I991" s="3"/>
      <c r="J991" s="3"/>
    </row>
    <row r="992" spans="4:10" s="22" customFormat="1" x14ac:dyDescent="0.35">
      <c r="D992" s="3"/>
      <c r="E992" s="3"/>
      <c r="F992" s="3"/>
      <c r="G992" s="3"/>
      <c r="H992" s="3"/>
      <c r="I992" s="3"/>
      <c r="J992" s="3"/>
    </row>
    <row r="993" spans="4:10" s="22" customFormat="1" x14ac:dyDescent="0.35">
      <c r="D993" s="3"/>
      <c r="E993" s="3"/>
      <c r="F993" s="3"/>
      <c r="G993" s="3"/>
      <c r="H993" s="3"/>
      <c r="I993" s="3"/>
      <c r="J993" s="3"/>
    </row>
    <row r="994" spans="4:10" s="22" customFormat="1" x14ac:dyDescent="0.35">
      <c r="D994" s="3"/>
      <c r="E994" s="3"/>
      <c r="F994" s="3"/>
      <c r="G994" s="3"/>
      <c r="H994" s="3"/>
      <c r="I994" s="3"/>
      <c r="J994" s="3"/>
    </row>
    <row r="995" spans="4:10" s="22" customFormat="1" x14ac:dyDescent="0.35">
      <c r="D995" s="3"/>
      <c r="E995" s="3"/>
      <c r="F995" s="3"/>
      <c r="G995" s="3"/>
      <c r="H995" s="3"/>
      <c r="I995" s="3"/>
      <c r="J995" s="3"/>
    </row>
    <row r="996" spans="4:10" s="22" customFormat="1" x14ac:dyDescent="0.35">
      <c r="D996" s="3"/>
      <c r="E996" s="3"/>
      <c r="F996" s="3"/>
      <c r="G996" s="3"/>
      <c r="H996" s="3"/>
      <c r="I996" s="3"/>
      <c r="J996" s="3"/>
    </row>
    <row r="997" spans="4:10" s="22" customFormat="1" x14ac:dyDescent="0.35">
      <c r="D997" s="3"/>
      <c r="E997" s="3"/>
      <c r="F997" s="3"/>
      <c r="G997" s="3"/>
      <c r="H997" s="3"/>
      <c r="I997" s="3"/>
      <c r="J997" s="3"/>
    </row>
    <row r="998" spans="4:10" s="22" customFormat="1" x14ac:dyDescent="0.35">
      <c r="D998" s="3"/>
      <c r="E998" s="3"/>
      <c r="F998" s="3"/>
      <c r="G998" s="3"/>
      <c r="H998" s="3"/>
      <c r="I998" s="3"/>
      <c r="J998" s="3"/>
    </row>
    <row r="999" spans="4:10" s="22" customFormat="1" x14ac:dyDescent="0.35">
      <c r="D999" s="3"/>
      <c r="E999" s="3"/>
      <c r="F999" s="3"/>
      <c r="G999" s="3"/>
      <c r="H999" s="3"/>
      <c r="I999" s="3"/>
      <c r="J999" s="3"/>
    </row>
    <row r="1000" spans="4:10" s="22" customFormat="1" x14ac:dyDescent="0.35">
      <c r="D1000" s="3"/>
      <c r="E1000" s="3"/>
      <c r="F1000" s="3"/>
      <c r="G1000" s="3"/>
      <c r="H1000" s="3"/>
      <c r="I1000" s="3"/>
      <c r="J1000" s="3"/>
    </row>
    <row r="1001" spans="4:10" s="22" customFormat="1" x14ac:dyDescent="0.35">
      <c r="D1001" s="3"/>
      <c r="E1001" s="3"/>
      <c r="F1001" s="3"/>
      <c r="G1001" s="3"/>
      <c r="H1001" s="3"/>
      <c r="I1001" s="3"/>
      <c r="J1001" s="3"/>
    </row>
    <row r="1002" spans="4:10" s="22" customFormat="1" x14ac:dyDescent="0.35">
      <c r="D1002" s="3"/>
      <c r="E1002" s="3"/>
      <c r="F1002" s="3"/>
      <c r="G1002" s="3"/>
      <c r="H1002" s="3"/>
      <c r="I1002" s="3"/>
      <c r="J1002" s="3"/>
    </row>
    <row r="1003" spans="4:10" s="22" customFormat="1" x14ac:dyDescent="0.35">
      <c r="D1003" s="3"/>
      <c r="E1003" s="3"/>
      <c r="F1003" s="3"/>
      <c r="G1003" s="3"/>
      <c r="H1003" s="3"/>
      <c r="I1003" s="3"/>
      <c r="J1003" s="3"/>
    </row>
    <row r="1004" spans="4:10" s="22" customFormat="1" x14ac:dyDescent="0.35">
      <c r="D1004" s="3"/>
      <c r="E1004" s="3"/>
      <c r="F1004" s="3"/>
      <c r="G1004" s="3"/>
      <c r="H1004" s="3"/>
      <c r="I1004" s="3"/>
      <c r="J1004" s="3"/>
    </row>
    <row r="1005" spans="4:10" s="22" customFormat="1" x14ac:dyDescent="0.35">
      <c r="D1005" s="3"/>
      <c r="E1005" s="3"/>
      <c r="F1005" s="3"/>
      <c r="G1005" s="3"/>
      <c r="H1005" s="3"/>
      <c r="I1005" s="3"/>
      <c r="J1005" s="3"/>
    </row>
    <row r="1006" spans="4:10" s="22" customFormat="1" x14ac:dyDescent="0.35">
      <c r="D1006" s="3"/>
      <c r="E1006" s="3"/>
      <c r="F1006" s="3"/>
      <c r="G1006" s="3"/>
      <c r="H1006" s="3"/>
      <c r="I1006" s="3"/>
      <c r="J1006" s="3"/>
    </row>
    <row r="1007" spans="4:10" s="22" customFormat="1" x14ac:dyDescent="0.35">
      <c r="D1007" s="3"/>
      <c r="E1007" s="3"/>
      <c r="F1007" s="3"/>
      <c r="G1007" s="3"/>
      <c r="H1007" s="3"/>
      <c r="I1007" s="3"/>
      <c r="J1007" s="3"/>
    </row>
    <row r="1008" spans="4:10" s="22" customFormat="1" x14ac:dyDescent="0.35">
      <c r="D1008" s="3"/>
      <c r="E1008" s="3"/>
      <c r="F1008" s="3"/>
      <c r="G1008" s="3"/>
      <c r="H1008" s="3"/>
      <c r="I1008" s="3"/>
      <c r="J1008" s="3"/>
    </row>
    <row r="1009" spans="4:10" s="22" customFormat="1" x14ac:dyDescent="0.35">
      <c r="D1009" s="3"/>
      <c r="E1009" s="3"/>
      <c r="F1009" s="3"/>
      <c r="G1009" s="3"/>
      <c r="H1009" s="3"/>
      <c r="I1009" s="3"/>
      <c r="J1009" s="3"/>
    </row>
    <row r="1010" spans="4:10" s="22" customFormat="1" x14ac:dyDescent="0.35">
      <c r="D1010" s="3"/>
      <c r="E1010" s="3"/>
      <c r="F1010" s="3"/>
      <c r="G1010" s="3"/>
      <c r="H1010" s="3"/>
      <c r="I1010" s="3"/>
      <c r="J1010" s="3"/>
    </row>
    <row r="1011" spans="4:10" s="22" customFormat="1" x14ac:dyDescent="0.35">
      <c r="D1011" s="3"/>
      <c r="E1011" s="3"/>
      <c r="F1011" s="3"/>
      <c r="G1011" s="3"/>
      <c r="H1011" s="3"/>
      <c r="I1011" s="3"/>
      <c r="J1011" s="3"/>
    </row>
    <row r="1012" spans="4:10" s="22" customFormat="1" x14ac:dyDescent="0.35">
      <c r="D1012" s="3"/>
      <c r="E1012" s="3"/>
      <c r="F1012" s="3"/>
      <c r="G1012" s="3"/>
      <c r="H1012" s="3"/>
      <c r="I1012" s="3"/>
      <c r="J1012" s="3"/>
    </row>
    <row r="1013" spans="4:10" s="22" customFormat="1" x14ac:dyDescent="0.35">
      <c r="D1013" s="3"/>
      <c r="E1013" s="3"/>
      <c r="F1013" s="3"/>
      <c r="G1013" s="3"/>
      <c r="H1013" s="3"/>
      <c r="I1013" s="3"/>
      <c r="J1013" s="3"/>
    </row>
    <row r="1014" spans="4:10" s="22" customFormat="1" x14ac:dyDescent="0.35">
      <c r="D1014" s="3"/>
      <c r="E1014" s="3"/>
      <c r="F1014" s="3"/>
      <c r="G1014" s="3"/>
      <c r="H1014" s="3"/>
      <c r="I1014" s="3"/>
      <c r="J1014" s="3"/>
    </row>
    <row r="1015" spans="4:10" s="22" customFormat="1" x14ac:dyDescent="0.35">
      <c r="D1015" s="3"/>
      <c r="E1015" s="3"/>
      <c r="F1015" s="3"/>
      <c r="G1015" s="3"/>
      <c r="H1015" s="3"/>
      <c r="I1015" s="3"/>
      <c r="J1015" s="3"/>
    </row>
    <row r="1016" spans="4:10" s="22" customFormat="1" x14ac:dyDescent="0.35">
      <c r="D1016" s="3"/>
      <c r="E1016" s="3"/>
      <c r="F1016" s="3"/>
      <c r="G1016" s="3"/>
      <c r="H1016" s="3"/>
      <c r="I1016" s="3"/>
      <c r="J1016" s="3"/>
    </row>
    <row r="1017" spans="4:10" s="22" customFormat="1" x14ac:dyDescent="0.35">
      <c r="D1017" s="3"/>
      <c r="E1017" s="3"/>
      <c r="F1017" s="3"/>
      <c r="G1017" s="3"/>
      <c r="H1017" s="3"/>
      <c r="I1017" s="3"/>
      <c r="J1017" s="3"/>
    </row>
    <row r="1018" spans="4:10" s="22" customFormat="1" x14ac:dyDescent="0.35">
      <c r="D1018" s="3"/>
      <c r="E1018" s="3"/>
      <c r="F1018" s="3"/>
      <c r="G1018" s="3"/>
      <c r="H1018" s="3"/>
      <c r="I1018" s="3"/>
      <c r="J1018" s="3"/>
    </row>
    <row r="1019" spans="4:10" s="22" customFormat="1" x14ac:dyDescent="0.35">
      <c r="D1019" s="3"/>
      <c r="E1019" s="3"/>
      <c r="F1019" s="3"/>
      <c r="G1019" s="3"/>
      <c r="H1019" s="3"/>
      <c r="I1019" s="3"/>
      <c r="J1019" s="3"/>
    </row>
    <row r="1020" spans="4:10" s="22" customFormat="1" x14ac:dyDescent="0.35">
      <c r="D1020" s="3"/>
      <c r="E1020" s="3"/>
      <c r="F1020" s="3"/>
      <c r="G1020" s="3"/>
      <c r="H1020" s="3"/>
      <c r="I1020" s="3"/>
      <c r="J1020" s="3"/>
    </row>
    <row r="1021" spans="4:10" s="22" customFormat="1" x14ac:dyDescent="0.35">
      <c r="D1021" s="3"/>
      <c r="E1021" s="3"/>
      <c r="F1021" s="3"/>
      <c r="G1021" s="3"/>
      <c r="H1021" s="3"/>
      <c r="I1021" s="3"/>
      <c r="J1021" s="3"/>
    </row>
    <row r="1022" spans="4:10" s="22" customFormat="1" x14ac:dyDescent="0.35">
      <c r="D1022" s="3"/>
      <c r="E1022" s="3"/>
      <c r="F1022" s="3"/>
      <c r="G1022" s="3"/>
      <c r="H1022" s="3"/>
      <c r="I1022" s="3"/>
      <c r="J1022" s="3"/>
    </row>
    <row r="1023" spans="4:10" s="22" customFormat="1" x14ac:dyDescent="0.35">
      <c r="D1023" s="3"/>
      <c r="E1023" s="3"/>
      <c r="F1023" s="3"/>
      <c r="G1023" s="3"/>
      <c r="H1023" s="3"/>
      <c r="I1023" s="3"/>
      <c r="J1023" s="3"/>
    </row>
    <row r="1024" spans="4:10" s="22" customFormat="1" x14ac:dyDescent="0.35">
      <c r="D1024" s="3"/>
      <c r="E1024" s="3"/>
      <c r="F1024" s="3"/>
      <c r="G1024" s="3"/>
      <c r="H1024" s="3"/>
      <c r="I1024" s="3"/>
      <c r="J1024" s="3"/>
    </row>
    <row r="1025" spans="4:10" s="22" customFormat="1" x14ac:dyDescent="0.35">
      <c r="D1025" s="3"/>
      <c r="E1025" s="3"/>
      <c r="F1025" s="3"/>
      <c r="G1025" s="3"/>
      <c r="H1025" s="3"/>
      <c r="I1025" s="3"/>
      <c r="J1025" s="3"/>
    </row>
    <row r="1026" spans="4:10" s="22" customFormat="1" x14ac:dyDescent="0.35">
      <c r="D1026" s="3"/>
      <c r="E1026" s="3"/>
      <c r="F1026" s="3"/>
      <c r="G1026" s="3"/>
      <c r="H1026" s="3"/>
      <c r="I1026" s="3"/>
      <c r="J1026" s="3"/>
    </row>
    <row r="1027" spans="4:10" s="22" customFormat="1" x14ac:dyDescent="0.35">
      <c r="D1027" s="3"/>
      <c r="E1027" s="3"/>
      <c r="F1027" s="3"/>
      <c r="G1027" s="3"/>
      <c r="H1027" s="3"/>
      <c r="I1027" s="3"/>
      <c r="J1027" s="3"/>
    </row>
    <row r="1028" spans="4:10" s="22" customFormat="1" x14ac:dyDescent="0.35">
      <c r="D1028" s="3"/>
      <c r="E1028" s="3"/>
      <c r="F1028" s="3"/>
      <c r="G1028" s="3"/>
      <c r="H1028" s="3"/>
      <c r="I1028" s="3"/>
      <c r="J1028" s="3"/>
    </row>
    <row r="1029" spans="4:10" s="22" customFormat="1" x14ac:dyDescent="0.35">
      <c r="D1029" s="3"/>
      <c r="E1029" s="3"/>
      <c r="F1029" s="3"/>
      <c r="G1029" s="3"/>
      <c r="H1029" s="3"/>
      <c r="I1029" s="3"/>
      <c r="J1029" s="3"/>
    </row>
    <row r="1030" spans="4:10" s="22" customFormat="1" x14ac:dyDescent="0.35">
      <c r="D1030" s="3"/>
      <c r="E1030" s="3"/>
      <c r="F1030" s="3"/>
      <c r="G1030" s="3"/>
      <c r="H1030" s="3"/>
      <c r="I1030" s="3"/>
      <c r="J1030" s="3"/>
    </row>
    <row r="1031" spans="4:10" s="22" customFormat="1" x14ac:dyDescent="0.35">
      <c r="D1031" s="3"/>
      <c r="E1031" s="3"/>
      <c r="F1031" s="3"/>
      <c r="G1031" s="3"/>
      <c r="H1031" s="3"/>
      <c r="I1031" s="3"/>
      <c r="J1031" s="3"/>
    </row>
    <row r="1032" spans="4:10" s="22" customFormat="1" x14ac:dyDescent="0.35">
      <c r="D1032" s="3"/>
      <c r="E1032" s="3"/>
      <c r="F1032" s="3"/>
      <c r="G1032" s="3"/>
      <c r="H1032" s="3"/>
      <c r="I1032" s="3"/>
      <c r="J1032" s="3"/>
    </row>
    <row r="1033" spans="4:10" s="22" customFormat="1" x14ac:dyDescent="0.35">
      <c r="D1033" s="3"/>
      <c r="E1033" s="3"/>
      <c r="F1033" s="3"/>
      <c r="G1033" s="3"/>
      <c r="H1033" s="3"/>
      <c r="I1033" s="3"/>
      <c r="J1033" s="3"/>
    </row>
    <row r="1034" spans="4:10" s="22" customFormat="1" x14ac:dyDescent="0.35">
      <c r="D1034" s="3"/>
      <c r="E1034" s="3"/>
      <c r="F1034" s="3"/>
      <c r="G1034" s="3"/>
      <c r="H1034" s="3"/>
      <c r="I1034" s="3"/>
      <c r="J1034" s="3"/>
    </row>
    <row r="1035" spans="4:10" s="22" customFormat="1" x14ac:dyDescent="0.35">
      <c r="D1035" s="3"/>
      <c r="E1035" s="3"/>
      <c r="F1035" s="3"/>
      <c r="G1035" s="3"/>
      <c r="H1035" s="3"/>
      <c r="I1035" s="3"/>
      <c r="J1035" s="3"/>
    </row>
    <row r="1036" spans="4:10" s="22" customFormat="1" x14ac:dyDescent="0.35">
      <c r="D1036" s="3"/>
      <c r="E1036" s="3"/>
      <c r="F1036" s="3"/>
      <c r="G1036" s="3"/>
      <c r="H1036" s="3"/>
      <c r="I1036" s="3"/>
      <c r="J1036" s="3"/>
    </row>
    <row r="1037" spans="4:10" s="22" customFormat="1" x14ac:dyDescent="0.35">
      <c r="D1037" s="3"/>
      <c r="E1037" s="3"/>
      <c r="F1037" s="3"/>
      <c r="G1037" s="3"/>
      <c r="H1037" s="3"/>
      <c r="I1037" s="3"/>
      <c r="J1037" s="3"/>
    </row>
    <row r="1038" spans="4:10" s="22" customFormat="1" x14ac:dyDescent="0.35">
      <c r="D1038" s="3" t="s">
        <v>269</v>
      </c>
      <c r="E1038" s="3"/>
      <c r="F1038" s="3"/>
      <c r="G1038" s="3"/>
      <c r="H1038" s="3"/>
      <c r="I1038" s="3"/>
      <c r="J1038" s="3"/>
    </row>
    <row r="1039" spans="4:10" s="22" customFormat="1" x14ac:dyDescent="0.35">
      <c r="D1039" s="3"/>
      <c r="E1039" s="3"/>
      <c r="F1039" s="3"/>
      <c r="G1039" s="3"/>
      <c r="H1039" s="3"/>
      <c r="I1039" s="3"/>
      <c r="J1039" s="3"/>
    </row>
    <row r="1040" spans="4:10" s="22" customFormat="1" x14ac:dyDescent="0.35">
      <c r="D1040" s="3"/>
      <c r="E1040" s="3"/>
      <c r="F1040" s="3"/>
      <c r="G1040" s="3"/>
      <c r="H1040" s="3"/>
      <c r="I1040" s="3"/>
      <c r="J1040" s="3"/>
    </row>
    <row r="1041" spans="4:10" s="22" customFormat="1" x14ac:dyDescent="0.35">
      <c r="D1041" s="3"/>
      <c r="E1041" s="3"/>
      <c r="F1041" s="3"/>
      <c r="G1041" s="3"/>
      <c r="H1041" s="3"/>
      <c r="I1041" s="3"/>
      <c r="J1041" s="3"/>
    </row>
    <row r="1042" spans="4:10" s="22" customFormat="1" x14ac:dyDescent="0.35">
      <c r="D1042" s="3"/>
      <c r="E1042" s="3"/>
      <c r="F1042" s="3"/>
      <c r="G1042" s="3"/>
      <c r="H1042" s="3"/>
      <c r="I1042" s="3"/>
      <c r="J1042" s="3"/>
    </row>
    <row r="1043" spans="4:10" s="22" customFormat="1" x14ac:dyDescent="0.35">
      <c r="D1043" s="3"/>
      <c r="E1043" s="3"/>
      <c r="F1043" s="3"/>
      <c r="G1043" s="3"/>
      <c r="H1043" s="3"/>
      <c r="I1043" s="3"/>
      <c r="J1043" s="3"/>
    </row>
    <row r="1044" spans="4:10" s="22" customFormat="1" x14ac:dyDescent="0.35">
      <c r="D1044" s="3"/>
      <c r="E1044" s="3"/>
      <c r="F1044" s="3"/>
      <c r="G1044" s="3"/>
      <c r="H1044" s="3"/>
      <c r="I1044" s="3"/>
      <c r="J1044" s="3"/>
    </row>
    <row r="1045" spans="4:10" s="22" customFormat="1" x14ac:dyDescent="0.35">
      <c r="D1045" s="3"/>
      <c r="E1045" s="3"/>
      <c r="F1045" s="3"/>
      <c r="G1045" s="3"/>
      <c r="H1045" s="3"/>
      <c r="I1045" s="3"/>
      <c r="J1045" s="3"/>
    </row>
    <row r="1046" spans="4:10" s="22" customFormat="1" x14ac:dyDescent="0.35">
      <c r="D1046" s="3"/>
      <c r="E1046" s="3"/>
      <c r="F1046" s="3"/>
      <c r="G1046" s="3"/>
      <c r="H1046" s="3"/>
      <c r="I1046" s="3"/>
      <c r="J1046" s="3"/>
    </row>
    <row r="1047" spans="4:10" s="22" customFormat="1" x14ac:dyDescent="0.35">
      <c r="D1047" s="3"/>
      <c r="E1047" s="3"/>
      <c r="F1047" s="3"/>
      <c r="G1047" s="3"/>
      <c r="H1047" s="3"/>
      <c r="I1047" s="3"/>
      <c r="J1047" s="3"/>
    </row>
    <row r="1048" spans="4:10" s="22" customFormat="1" x14ac:dyDescent="0.35">
      <c r="D1048" s="3"/>
      <c r="E1048" s="3"/>
      <c r="F1048" s="3"/>
      <c r="G1048" s="3"/>
      <c r="H1048" s="3"/>
      <c r="I1048" s="3"/>
      <c r="J1048" s="3"/>
    </row>
    <row r="1049" spans="4:10" s="22" customFormat="1" x14ac:dyDescent="0.35">
      <c r="D1049" s="3"/>
      <c r="E1049" s="3"/>
      <c r="F1049" s="3"/>
      <c r="G1049" s="3"/>
      <c r="H1049" s="3"/>
      <c r="I1049" s="3"/>
      <c r="J1049" s="3"/>
    </row>
    <row r="1050" spans="4:10" s="22" customFormat="1" x14ac:dyDescent="0.35">
      <c r="D1050" s="3"/>
      <c r="E1050" s="3"/>
      <c r="F1050" s="3"/>
      <c r="G1050" s="3"/>
      <c r="H1050" s="3"/>
      <c r="I1050" s="3"/>
      <c r="J1050" s="3"/>
    </row>
    <row r="1051" spans="4:10" s="22" customFormat="1" x14ac:dyDescent="0.35">
      <c r="D1051" s="3"/>
      <c r="E1051" s="3"/>
      <c r="F1051" s="3"/>
      <c r="G1051" s="3"/>
      <c r="H1051" s="3"/>
      <c r="I1051" s="3"/>
      <c r="J1051" s="3"/>
    </row>
    <row r="1052" spans="4:10" s="22" customFormat="1" x14ac:dyDescent="0.35">
      <c r="D1052" s="3"/>
      <c r="E1052" s="3"/>
      <c r="F1052" s="3"/>
      <c r="G1052" s="3"/>
      <c r="H1052" s="3"/>
      <c r="I1052" s="3"/>
      <c r="J1052" s="3"/>
    </row>
    <row r="1053" spans="4:10" s="22" customFormat="1" x14ac:dyDescent="0.35">
      <c r="D1053" s="3"/>
      <c r="E1053" s="3"/>
      <c r="F1053" s="3"/>
      <c r="G1053" s="3"/>
      <c r="H1053" s="3"/>
      <c r="I1053" s="3"/>
      <c r="J1053" s="3"/>
    </row>
    <row r="1054" spans="4:10" s="22" customFormat="1" x14ac:dyDescent="0.35">
      <c r="D1054" s="3"/>
      <c r="E1054" s="3"/>
      <c r="F1054" s="3"/>
      <c r="G1054" s="3"/>
      <c r="H1054" s="3"/>
      <c r="I1054" s="3"/>
      <c r="J1054" s="3"/>
    </row>
    <row r="1055" spans="4:10" s="22" customFormat="1" x14ac:dyDescent="0.35">
      <c r="D1055" s="3"/>
      <c r="E1055" s="3"/>
      <c r="F1055" s="3"/>
      <c r="G1055" s="3"/>
      <c r="H1055" s="3"/>
      <c r="I1055" s="3"/>
      <c r="J1055" s="3"/>
    </row>
    <row r="1056" spans="4:10" s="22" customFormat="1" x14ac:dyDescent="0.35">
      <c r="D1056" s="3"/>
      <c r="E1056" s="3"/>
      <c r="F1056" s="3"/>
      <c r="G1056" s="3"/>
      <c r="H1056" s="3"/>
      <c r="I1056" s="3"/>
      <c r="J1056" s="3"/>
    </row>
    <row r="1057" spans="4:10" s="22" customFormat="1" x14ac:dyDescent="0.35">
      <c r="D1057" s="3"/>
      <c r="E1057" s="3"/>
      <c r="F1057" s="3"/>
      <c r="G1057" s="3"/>
      <c r="H1057" s="3"/>
      <c r="I1057" s="3"/>
      <c r="J1057" s="3"/>
    </row>
    <row r="1058" spans="4:10" s="22" customFormat="1" x14ac:dyDescent="0.35">
      <c r="D1058" s="3"/>
      <c r="E1058" s="3"/>
      <c r="F1058" s="3"/>
      <c r="G1058" s="3"/>
      <c r="H1058" s="3"/>
      <c r="I1058" s="3"/>
      <c r="J1058" s="3"/>
    </row>
    <row r="1059" spans="4:10" s="22" customFormat="1" x14ac:dyDescent="0.35">
      <c r="D1059" s="3"/>
      <c r="E1059" s="3"/>
      <c r="F1059" s="3"/>
      <c r="G1059" s="3"/>
      <c r="H1059" s="3"/>
      <c r="I1059" s="3"/>
      <c r="J1059" s="3"/>
    </row>
    <row r="1060" spans="4:10" s="22" customFormat="1" x14ac:dyDescent="0.35">
      <c r="D1060" s="3"/>
      <c r="E1060" s="3"/>
      <c r="F1060" s="3"/>
      <c r="G1060" s="3"/>
      <c r="H1060" s="3"/>
      <c r="I1060" s="3"/>
      <c r="J1060" s="3"/>
    </row>
    <row r="1061" spans="4:10" s="22" customFormat="1" x14ac:dyDescent="0.35">
      <c r="D1061" s="3"/>
      <c r="E1061" s="3"/>
      <c r="F1061" s="3"/>
      <c r="G1061" s="3"/>
      <c r="H1061" s="3"/>
      <c r="I1061" s="3"/>
      <c r="J1061" s="3"/>
    </row>
    <row r="1062" spans="4:10" s="22" customFormat="1" x14ac:dyDescent="0.35">
      <c r="D1062" s="3"/>
      <c r="E1062" s="3"/>
      <c r="F1062" s="3"/>
      <c r="G1062" s="3"/>
      <c r="H1062" s="3"/>
      <c r="I1062" s="3"/>
      <c r="J1062" s="3"/>
    </row>
    <row r="1063" spans="4:10" s="22" customFormat="1" x14ac:dyDescent="0.35">
      <c r="D1063" s="3"/>
      <c r="E1063" s="3"/>
      <c r="F1063" s="3"/>
      <c r="G1063" s="3"/>
      <c r="H1063" s="3"/>
      <c r="I1063" s="3"/>
      <c r="J1063" s="3"/>
    </row>
    <row r="1064" spans="4:10" s="22" customFormat="1" x14ac:dyDescent="0.35">
      <c r="D1064" s="3"/>
      <c r="E1064" s="3"/>
      <c r="F1064" s="3"/>
      <c r="G1064" s="3"/>
      <c r="H1064" s="3"/>
      <c r="I1064" s="3"/>
      <c r="J1064" s="3"/>
    </row>
    <row r="1065" spans="4:10" s="22" customFormat="1" x14ac:dyDescent="0.35">
      <c r="D1065" s="3"/>
      <c r="E1065" s="3"/>
      <c r="F1065" s="3"/>
      <c r="G1065" s="3"/>
      <c r="H1065" s="3"/>
      <c r="I1065" s="3"/>
      <c r="J1065" s="3"/>
    </row>
    <row r="1066" spans="4:10" s="22" customFormat="1" x14ac:dyDescent="0.35">
      <c r="D1066" s="3"/>
      <c r="E1066" s="3"/>
      <c r="F1066" s="3"/>
      <c r="G1066" s="3"/>
      <c r="H1066" s="3"/>
      <c r="I1066" s="3"/>
      <c r="J1066" s="3"/>
    </row>
    <row r="1067" spans="4:10" s="22" customFormat="1" x14ac:dyDescent="0.35">
      <c r="D1067" s="3"/>
      <c r="E1067" s="3"/>
      <c r="F1067" s="3"/>
      <c r="G1067" s="3"/>
      <c r="H1067" s="3"/>
      <c r="I1067" s="3"/>
      <c r="J1067" s="3"/>
    </row>
    <row r="1068" spans="4:10" s="22" customFormat="1" x14ac:dyDescent="0.35">
      <c r="D1068" s="3"/>
      <c r="E1068" s="3"/>
      <c r="F1068" s="3"/>
      <c r="G1068" s="3"/>
      <c r="H1068" s="3"/>
      <c r="I1068" s="3"/>
      <c r="J1068" s="3"/>
    </row>
    <row r="1069" spans="4:10" s="22" customFormat="1" x14ac:dyDescent="0.35">
      <c r="D1069" s="3"/>
      <c r="E1069" s="3"/>
      <c r="F1069" s="3"/>
      <c r="G1069" s="3"/>
      <c r="H1069" s="3"/>
      <c r="I1069" s="3"/>
      <c r="J1069" s="3"/>
    </row>
    <row r="1070" spans="4:10" s="22" customFormat="1" x14ac:dyDescent="0.35">
      <c r="D1070" s="3"/>
      <c r="E1070" s="3"/>
      <c r="F1070" s="3"/>
      <c r="G1070" s="3"/>
      <c r="H1070" s="3"/>
      <c r="I1070" s="3"/>
      <c r="J1070" s="3"/>
    </row>
    <row r="1071" spans="4:10" s="22" customFormat="1" x14ac:dyDescent="0.35">
      <c r="D1071" s="3"/>
      <c r="E1071" s="3"/>
      <c r="F1071" s="3"/>
      <c r="G1071" s="3"/>
      <c r="H1071" s="3"/>
      <c r="I1071" s="3"/>
      <c r="J1071" s="3"/>
    </row>
    <row r="1072" spans="4:10" s="22" customFormat="1" x14ac:dyDescent="0.35">
      <c r="D1072" s="3"/>
      <c r="E1072" s="3"/>
      <c r="F1072" s="3"/>
      <c r="G1072" s="3"/>
      <c r="H1072" s="3"/>
      <c r="I1072" s="3"/>
      <c r="J1072" s="3"/>
    </row>
    <row r="1073" spans="4:10" s="22" customFormat="1" x14ac:dyDescent="0.35">
      <c r="D1073" s="3"/>
      <c r="E1073" s="3"/>
      <c r="F1073" s="3"/>
      <c r="G1073" s="3"/>
      <c r="H1073" s="3"/>
      <c r="I1073" s="3"/>
      <c r="J1073" s="3"/>
    </row>
    <row r="1074" spans="4:10" s="22" customFormat="1" x14ac:dyDescent="0.35">
      <c r="D1074" s="3" t="s">
        <v>270</v>
      </c>
      <c r="E1074" s="3"/>
      <c r="F1074" s="3"/>
      <c r="G1074" s="3"/>
      <c r="H1074" s="3"/>
      <c r="I1074" s="3"/>
      <c r="J1074" s="3"/>
    </row>
    <row r="1075" spans="4:10" s="22" customFormat="1" x14ac:dyDescent="0.35">
      <c r="D1075" s="3"/>
      <c r="E1075" s="3"/>
      <c r="F1075" s="3"/>
      <c r="G1075" s="3"/>
      <c r="H1075" s="3"/>
      <c r="I1075" s="3"/>
      <c r="J1075" s="3"/>
    </row>
    <row r="1076" spans="4:10" s="22" customFormat="1" x14ac:dyDescent="0.35">
      <c r="D1076" s="3"/>
      <c r="E1076" s="3"/>
      <c r="F1076" s="3"/>
      <c r="G1076" s="3"/>
      <c r="H1076" s="3"/>
      <c r="I1076" s="3"/>
      <c r="J1076" s="3"/>
    </row>
    <row r="1077" spans="4:10" s="22" customFormat="1" x14ac:dyDescent="0.35">
      <c r="D1077" s="3"/>
      <c r="E1077" s="3"/>
      <c r="F1077" s="3"/>
      <c r="G1077" s="3"/>
      <c r="H1077" s="3"/>
      <c r="I1077" s="3"/>
      <c r="J1077" s="3"/>
    </row>
    <row r="1078" spans="4:10" s="22" customFormat="1" x14ac:dyDescent="0.35">
      <c r="D1078" s="3"/>
      <c r="E1078" s="3"/>
      <c r="F1078" s="3"/>
      <c r="G1078" s="3"/>
      <c r="H1078" s="3"/>
      <c r="I1078" s="3"/>
      <c r="J1078" s="3"/>
    </row>
    <row r="1079" spans="4:10" s="22" customFormat="1" x14ac:dyDescent="0.35">
      <c r="D1079" s="3"/>
      <c r="E1079" s="3"/>
      <c r="F1079" s="3"/>
      <c r="G1079" s="3"/>
      <c r="H1079" s="3"/>
      <c r="I1079" s="3"/>
      <c r="J1079" s="3"/>
    </row>
    <row r="1080" spans="4:10" s="22" customFormat="1" x14ac:dyDescent="0.35">
      <c r="D1080" s="3"/>
      <c r="E1080" s="3"/>
      <c r="F1080" s="3"/>
      <c r="G1080" s="3"/>
      <c r="H1080" s="3"/>
      <c r="I1080" s="3"/>
      <c r="J1080" s="3"/>
    </row>
    <row r="1081" spans="4:10" s="22" customFormat="1" x14ac:dyDescent="0.35">
      <c r="D1081" s="3"/>
      <c r="E1081" s="3"/>
      <c r="F1081" s="3"/>
      <c r="G1081" s="3"/>
      <c r="H1081" s="3"/>
      <c r="I1081" s="3"/>
      <c r="J1081" s="3"/>
    </row>
    <row r="1082" spans="4:10" s="22" customFormat="1" x14ac:dyDescent="0.35">
      <c r="D1082" s="3"/>
      <c r="E1082" s="3"/>
      <c r="F1082" s="3"/>
      <c r="G1082" s="3"/>
      <c r="H1082" s="3"/>
      <c r="I1082" s="3"/>
      <c r="J1082" s="3"/>
    </row>
    <row r="1083" spans="4:10" s="22" customFormat="1" x14ac:dyDescent="0.35">
      <c r="D1083" s="3"/>
      <c r="E1083" s="3"/>
      <c r="F1083" s="3"/>
      <c r="G1083" s="3"/>
      <c r="H1083" s="3"/>
      <c r="I1083" s="3"/>
      <c r="J1083" s="3"/>
    </row>
    <row r="1084" spans="4:10" s="22" customFormat="1" x14ac:dyDescent="0.35">
      <c r="D1084" s="3"/>
      <c r="E1084" s="3"/>
      <c r="F1084" s="3"/>
      <c r="G1084" s="3"/>
      <c r="H1084" s="3"/>
      <c r="I1084" s="3"/>
      <c r="J1084" s="3"/>
    </row>
    <row r="1085" spans="4:10" s="22" customFormat="1" x14ac:dyDescent="0.35">
      <c r="D1085" s="3"/>
      <c r="E1085" s="3"/>
      <c r="F1085" s="3"/>
      <c r="G1085" s="3"/>
      <c r="H1085" s="3"/>
      <c r="I1085" s="3"/>
      <c r="J1085" s="3"/>
    </row>
    <row r="1086" spans="4:10" s="22" customFormat="1" x14ac:dyDescent="0.35">
      <c r="D1086" s="3"/>
      <c r="E1086" s="3"/>
      <c r="F1086" s="3"/>
      <c r="G1086" s="3"/>
      <c r="H1086" s="3"/>
      <c r="I1086" s="3"/>
      <c r="J1086" s="3"/>
    </row>
    <row r="1087" spans="4:10" s="22" customFormat="1" x14ac:dyDescent="0.35">
      <c r="D1087" s="3"/>
      <c r="E1087" s="3"/>
      <c r="F1087" s="3"/>
      <c r="G1087" s="3"/>
      <c r="H1087" s="3"/>
      <c r="I1087" s="3"/>
      <c r="J1087" s="3"/>
    </row>
    <row r="1088" spans="4:10" s="22" customFormat="1" x14ac:dyDescent="0.35">
      <c r="D1088" s="3"/>
      <c r="E1088" s="3"/>
      <c r="F1088" s="3"/>
      <c r="G1088" s="3"/>
      <c r="H1088" s="3"/>
      <c r="I1088" s="3"/>
      <c r="J1088" s="3"/>
    </row>
    <row r="1089" spans="4:10" s="22" customFormat="1" x14ac:dyDescent="0.35">
      <c r="D1089" s="3"/>
      <c r="E1089" s="3"/>
      <c r="F1089" s="3"/>
      <c r="G1089" s="3"/>
      <c r="H1089" s="3"/>
      <c r="I1089" s="3"/>
      <c r="J1089" s="3"/>
    </row>
    <row r="1090" spans="4:10" s="22" customFormat="1" x14ac:dyDescent="0.35">
      <c r="D1090" s="3"/>
      <c r="E1090" s="3"/>
      <c r="F1090" s="3"/>
      <c r="G1090" s="3"/>
      <c r="H1090" s="3"/>
      <c r="I1090" s="3"/>
      <c r="J1090" s="3"/>
    </row>
    <row r="1091" spans="4:10" s="22" customFormat="1" x14ac:dyDescent="0.35">
      <c r="D1091" s="3"/>
      <c r="E1091" s="3"/>
      <c r="F1091" s="3"/>
      <c r="G1091" s="3"/>
      <c r="H1091" s="3"/>
      <c r="I1091" s="3"/>
      <c r="J1091" s="3"/>
    </row>
    <row r="1092" spans="4:10" s="22" customFormat="1" x14ac:dyDescent="0.35">
      <c r="D1092" s="3"/>
      <c r="E1092" s="3"/>
      <c r="F1092" s="3"/>
      <c r="G1092" s="3"/>
      <c r="H1092" s="3"/>
      <c r="I1092" s="3"/>
      <c r="J1092" s="3"/>
    </row>
    <row r="1093" spans="4:10" s="22" customFormat="1" x14ac:dyDescent="0.35">
      <c r="D1093" s="3"/>
      <c r="E1093" s="3"/>
      <c r="F1093" s="3"/>
      <c r="G1093" s="3"/>
      <c r="H1093" s="3"/>
      <c r="I1093" s="3"/>
      <c r="J1093" s="3"/>
    </row>
    <row r="1094" spans="4:10" s="22" customFormat="1" x14ac:dyDescent="0.35">
      <c r="D1094" s="3"/>
      <c r="E1094" s="3"/>
      <c r="F1094" s="3"/>
      <c r="G1094" s="3"/>
      <c r="H1094" s="3"/>
      <c r="I1094" s="3"/>
      <c r="J1094" s="3"/>
    </row>
    <row r="1095" spans="4:10" s="22" customFormat="1" x14ac:dyDescent="0.35">
      <c r="D1095" s="3"/>
      <c r="E1095" s="3"/>
      <c r="F1095" s="3"/>
      <c r="G1095" s="3"/>
      <c r="H1095" s="3"/>
      <c r="I1095" s="3"/>
      <c r="J1095" s="3"/>
    </row>
    <row r="1096" spans="4:10" s="22" customFormat="1" x14ac:dyDescent="0.35">
      <c r="D1096" s="3"/>
      <c r="E1096" s="3"/>
      <c r="F1096" s="3"/>
      <c r="G1096" s="3"/>
      <c r="H1096" s="3"/>
      <c r="I1096" s="3"/>
      <c r="J1096" s="3"/>
    </row>
    <row r="1097" spans="4:10" s="22" customFormat="1" x14ac:dyDescent="0.35">
      <c r="D1097" s="3"/>
      <c r="E1097" s="3"/>
      <c r="F1097" s="3"/>
      <c r="G1097" s="3"/>
      <c r="H1097" s="3"/>
      <c r="I1097" s="3"/>
      <c r="J1097" s="3"/>
    </row>
    <row r="1098" spans="4:10" s="22" customFormat="1" x14ac:dyDescent="0.35">
      <c r="D1098" s="3"/>
      <c r="E1098" s="3"/>
      <c r="F1098" s="3"/>
      <c r="G1098" s="3"/>
      <c r="H1098" s="3"/>
      <c r="I1098" s="3"/>
      <c r="J1098" s="3"/>
    </row>
    <row r="1099" spans="4:10" s="22" customFormat="1" x14ac:dyDescent="0.35">
      <c r="D1099" s="3"/>
      <c r="E1099" s="3"/>
      <c r="F1099" s="3"/>
      <c r="G1099" s="3"/>
      <c r="H1099" s="3"/>
      <c r="I1099" s="3"/>
      <c r="J1099" s="3"/>
    </row>
    <row r="1100" spans="4:10" s="22" customFormat="1" x14ac:dyDescent="0.35">
      <c r="D1100" s="3"/>
      <c r="E1100" s="3"/>
      <c r="F1100" s="3"/>
      <c r="G1100" s="3"/>
      <c r="H1100" s="3"/>
      <c r="I1100" s="3"/>
      <c r="J1100" s="3"/>
    </row>
    <row r="1101" spans="4:10" s="22" customFormat="1" x14ac:dyDescent="0.35">
      <c r="D1101" s="3"/>
      <c r="E1101" s="3"/>
      <c r="F1101" s="3"/>
      <c r="G1101" s="3"/>
      <c r="H1101" s="3"/>
      <c r="I1101" s="3"/>
      <c r="J1101" s="3"/>
    </row>
    <row r="1102" spans="4:10" s="22" customFormat="1" x14ac:dyDescent="0.35">
      <c r="D1102" s="3"/>
      <c r="E1102" s="3"/>
      <c r="F1102" s="3"/>
      <c r="G1102" s="3"/>
      <c r="H1102" s="3"/>
      <c r="I1102" s="3"/>
      <c r="J1102" s="3"/>
    </row>
    <row r="1103" spans="4:10" s="22" customFormat="1" x14ac:dyDescent="0.35">
      <c r="D1103" s="3"/>
      <c r="E1103" s="3"/>
      <c r="F1103" s="3"/>
      <c r="G1103" s="3"/>
      <c r="H1103" s="3"/>
      <c r="I1103" s="3"/>
      <c r="J1103" s="3"/>
    </row>
    <row r="1104" spans="4:10" s="22" customFormat="1" x14ac:dyDescent="0.35">
      <c r="D1104" s="3"/>
      <c r="E1104" s="3"/>
      <c r="F1104" s="3"/>
      <c r="G1104" s="3"/>
      <c r="H1104" s="3"/>
      <c r="I1104" s="3"/>
      <c r="J1104" s="3"/>
    </row>
    <row r="1105" spans="4:10" s="22" customFormat="1" x14ac:dyDescent="0.35">
      <c r="D1105" s="3"/>
      <c r="E1105" s="3"/>
      <c r="F1105" s="3"/>
      <c r="G1105" s="3"/>
      <c r="H1105" s="3"/>
      <c r="I1105" s="3"/>
      <c r="J1105" s="3"/>
    </row>
    <row r="1106" spans="4:10" s="22" customFormat="1" x14ac:dyDescent="0.35">
      <c r="D1106" s="3"/>
      <c r="E1106" s="3"/>
      <c r="F1106" s="3"/>
      <c r="G1106" s="3"/>
      <c r="H1106" s="3"/>
      <c r="I1106" s="3"/>
      <c r="J1106" s="3"/>
    </row>
    <row r="1107" spans="4:10" s="22" customFormat="1" x14ac:dyDescent="0.35">
      <c r="D1107" s="3"/>
      <c r="E1107" s="3"/>
      <c r="F1107" s="3"/>
      <c r="G1107" s="3"/>
      <c r="H1107" s="3"/>
      <c r="I1107" s="3"/>
      <c r="J1107" s="3"/>
    </row>
    <row r="1108" spans="4:10" s="22" customFormat="1" x14ac:dyDescent="0.35">
      <c r="D1108" s="3"/>
      <c r="E1108" s="3"/>
      <c r="F1108" s="3"/>
      <c r="G1108" s="3"/>
      <c r="H1108" s="3"/>
      <c r="I1108" s="3"/>
      <c r="J1108" s="3"/>
    </row>
    <row r="1109" spans="4:10" s="22" customFormat="1" x14ac:dyDescent="0.35">
      <c r="D1109" s="3"/>
      <c r="E1109" s="3"/>
      <c r="F1109" s="3"/>
      <c r="G1109" s="3"/>
      <c r="H1109" s="3"/>
      <c r="I1109" s="3"/>
      <c r="J1109" s="3"/>
    </row>
    <row r="1110" spans="4:10" s="22" customFormat="1" x14ac:dyDescent="0.35">
      <c r="D1110" s="3"/>
      <c r="E1110" s="3"/>
      <c r="F1110" s="3"/>
      <c r="G1110" s="3"/>
      <c r="H1110" s="3"/>
      <c r="I1110" s="3"/>
      <c r="J1110" s="3"/>
    </row>
    <row r="1111" spans="4:10" s="22" customFormat="1" x14ac:dyDescent="0.35">
      <c r="D1111" s="3" t="s">
        <v>271</v>
      </c>
      <c r="E1111" s="3"/>
      <c r="F1111" s="3"/>
      <c r="G1111" s="3"/>
      <c r="H1111" s="3"/>
      <c r="I1111" s="3"/>
      <c r="J1111" s="3"/>
    </row>
    <row r="1112" spans="4:10" s="22" customFormat="1" x14ac:dyDescent="0.35">
      <c r="D1112" s="3"/>
      <c r="E1112" s="3"/>
      <c r="F1112" s="3"/>
      <c r="G1112" s="3"/>
      <c r="H1112" s="3"/>
      <c r="I1112" s="3"/>
      <c r="J1112" s="3"/>
    </row>
    <row r="1113" spans="4:10" s="22" customFormat="1" x14ac:dyDescent="0.35">
      <c r="D1113" s="3"/>
      <c r="E1113" s="3"/>
      <c r="F1113" s="3"/>
      <c r="G1113" s="3"/>
      <c r="H1113" s="3"/>
      <c r="I1113" s="3"/>
      <c r="J1113" s="3"/>
    </row>
    <row r="1114" spans="4:10" s="22" customFormat="1" x14ac:dyDescent="0.35">
      <c r="D1114" s="3"/>
      <c r="E1114" s="3"/>
      <c r="F1114" s="3"/>
      <c r="G1114" s="3"/>
      <c r="H1114" s="3"/>
      <c r="I1114" s="3"/>
      <c r="J1114" s="3"/>
    </row>
    <row r="1115" spans="4:10" s="22" customFormat="1" x14ac:dyDescent="0.35">
      <c r="D1115" s="3"/>
      <c r="E1115" s="3"/>
      <c r="F1115" s="3"/>
      <c r="G1115" s="3"/>
      <c r="H1115" s="3"/>
      <c r="I1115" s="3"/>
      <c r="J1115" s="3"/>
    </row>
    <row r="1116" spans="4:10" s="22" customFormat="1" x14ac:dyDescent="0.35">
      <c r="D1116" s="3"/>
      <c r="E1116" s="3"/>
      <c r="F1116" s="3"/>
      <c r="G1116" s="3"/>
      <c r="H1116" s="3"/>
      <c r="I1116" s="3"/>
      <c r="J1116" s="3"/>
    </row>
    <row r="1117" spans="4:10" s="22" customFormat="1" x14ac:dyDescent="0.35">
      <c r="D1117" s="3"/>
      <c r="E1117" s="3"/>
      <c r="F1117" s="3"/>
      <c r="G1117" s="3"/>
      <c r="H1117" s="3"/>
      <c r="I1117" s="3"/>
      <c r="J1117" s="3"/>
    </row>
    <row r="1118" spans="4:10" s="22" customFormat="1" x14ac:dyDescent="0.35">
      <c r="D1118" s="3"/>
      <c r="E1118" s="3"/>
      <c r="F1118" s="3"/>
      <c r="G1118" s="3"/>
      <c r="H1118" s="3"/>
      <c r="I1118" s="3"/>
      <c r="J1118" s="3"/>
    </row>
    <row r="1119" spans="4:10" s="22" customFormat="1" x14ac:dyDescent="0.35">
      <c r="D1119" s="3"/>
      <c r="E1119" s="3"/>
      <c r="F1119" s="3"/>
      <c r="G1119" s="3"/>
      <c r="H1119" s="3"/>
      <c r="I1119" s="3"/>
      <c r="J1119" s="3"/>
    </row>
    <row r="1120" spans="4:10" s="22" customFormat="1" x14ac:dyDescent="0.35">
      <c r="D1120" s="3"/>
      <c r="E1120" s="3"/>
      <c r="F1120" s="3"/>
      <c r="G1120" s="3"/>
      <c r="H1120" s="3"/>
      <c r="I1120" s="3"/>
      <c r="J1120" s="3"/>
    </row>
    <row r="1121" spans="4:10" s="22" customFormat="1" x14ac:dyDescent="0.35">
      <c r="D1121" s="3"/>
      <c r="E1121" s="3"/>
      <c r="F1121" s="3"/>
      <c r="G1121" s="3"/>
      <c r="H1121" s="3"/>
      <c r="I1121" s="3"/>
      <c r="J1121" s="3"/>
    </row>
    <row r="1122" spans="4:10" s="22" customFormat="1" x14ac:dyDescent="0.35">
      <c r="D1122" s="3"/>
      <c r="E1122" s="3"/>
      <c r="F1122" s="3"/>
      <c r="G1122" s="3"/>
      <c r="H1122" s="3"/>
      <c r="I1122" s="3"/>
      <c r="J1122" s="3"/>
    </row>
    <row r="1123" spans="4:10" s="22" customFormat="1" x14ac:dyDescent="0.35">
      <c r="D1123" s="3"/>
      <c r="E1123" s="3"/>
      <c r="F1123" s="3"/>
      <c r="G1123" s="3"/>
      <c r="H1123" s="3"/>
      <c r="I1123" s="3"/>
      <c r="J1123" s="3"/>
    </row>
    <row r="1124" spans="4:10" s="22" customFormat="1" x14ac:dyDescent="0.35">
      <c r="D1124" s="3"/>
      <c r="E1124" s="3"/>
      <c r="F1124" s="3"/>
      <c r="G1124" s="3"/>
      <c r="H1124" s="3"/>
      <c r="I1124" s="3"/>
      <c r="J1124" s="3"/>
    </row>
    <row r="1125" spans="4:10" s="22" customFormat="1" x14ac:dyDescent="0.35">
      <c r="D1125" s="3"/>
      <c r="E1125" s="3"/>
      <c r="F1125" s="3"/>
      <c r="G1125" s="3"/>
      <c r="H1125" s="3"/>
      <c r="I1125" s="3"/>
      <c r="J1125" s="3"/>
    </row>
    <row r="1126" spans="4:10" s="22" customFormat="1" x14ac:dyDescent="0.35">
      <c r="D1126" s="3"/>
      <c r="E1126" s="3"/>
      <c r="F1126" s="3"/>
      <c r="G1126" s="3"/>
      <c r="H1126" s="3"/>
      <c r="I1126" s="3"/>
      <c r="J1126" s="3"/>
    </row>
    <row r="1127" spans="4:10" s="22" customFormat="1" x14ac:dyDescent="0.35">
      <c r="D1127" s="3"/>
      <c r="E1127" s="3"/>
      <c r="F1127" s="3"/>
      <c r="G1127" s="3"/>
      <c r="H1127" s="3"/>
      <c r="I1127" s="3"/>
      <c r="J1127" s="3"/>
    </row>
    <row r="1128" spans="4:10" s="22" customFormat="1" x14ac:dyDescent="0.35">
      <c r="D1128" s="3"/>
      <c r="E1128" s="3"/>
      <c r="F1128" s="3"/>
      <c r="G1128" s="3"/>
      <c r="H1128" s="3"/>
      <c r="I1128" s="3"/>
      <c r="J1128" s="3"/>
    </row>
    <row r="1129" spans="4:10" s="22" customFormat="1" x14ac:dyDescent="0.35">
      <c r="D1129" s="3"/>
      <c r="E1129" s="3"/>
      <c r="F1129" s="3"/>
      <c r="G1129" s="3"/>
      <c r="H1129" s="3"/>
      <c r="I1129" s="3"/>
      <c r="J1129" s="3"/>
    </row>
    <row r="1130" spans="4:10" s="22" customFormat="1" x14ac:dyDescent="0.35">
      <c r="D1130" s="3"/>
      <c r="E1130" s="3"/>
      <c r="F1130" s="3"/>
      <c r="G1130" s="3"/>
      <c r="H1130" s="3"/>
      <c r="I1130" s="3"/>
      <c r="J1130" s="3"/>
    </row>
    <row r="1131" spans="4:10" s="22" customFormat="1" x14ac:dyDescent="0.35">
      <c r="D1131" s="3"/>
      <c r="E1131" s="3"/>
      <c r="F1131" s="3"/>
      <c r="G1131" s="3"/>
      <c r="H1131" s="3"/>
      <c r="I1131" s="3"/>
      <c r="J1131" s="3"/>
    </row>
    <row r="1132" spans="4:10" s="22" customFormat="1" x14ac:dyDescent="0.35">
      <c r="D1132" s="3"/>
      <c r="E1132" s="3"/>
      <c r="F1132" s="3"/>
      <c r="G1132" s="3"/>
      <c r="H1132" s="3"/>
      <c r="I1132" s="3"/>
      <c r="J1132" s="3"/>
    </row>
    <row r="1133" spans="4:10" s="22" customFormat="1" x14ac:dyDescent="0.35">
      <c r="D1133" s="3"/>
      <c r="E1133" s="3"/>
      <c r="F1133" s="3"/>
      <c r="G1133" s="3"/>
      <c r="H1133" s="3"/>
      <c r="I1133" s="3"/>
      <c r="J1133" s="3"/>
    </row>
    <row r="1134" spans="4:10" s="22" customFormat="1" x14ac:dyDescent="0.35">
      <c r="D1134" s="3"/>
      <c r="E1134" s="3"/>
      <c r="F1134" s="3"/>
      <c r="G1134" s="3"/>
      <c r="H1134" s="3"/>
      <c r="I1134" s="3"/>
      <c r="J1134" s="3"/>
    </row>
    <row r="1135" spans="4:10" s="22" customFormat="1" x14ac:dyDescent="0.35">
      <c r="D1135" s="3"/>
      <c r="E1135" s="3"/>
      <c r="F1135" s="3"/>
      <c r="G1135" s="3"/>
      <c r="H1135" s="3"/>
      <c r="I1135" s="3"/>
      <c r="J1135" s="3"/>
    </row>
    <row r="1136" spans="4:10" s="22" customFormat="1" x14ac:dyDescent="0.35">
      <c r="D1136" s="3"/>
      <c r="E1136" s="3"/>
      <c r="F1136" s="3"/>
      <c r="G1136" s="3"/>
      <c r="H1136" s="3"/>
      <c r="I1136" s="3"/>
      <c r="J1136" s="3"/>
    </row>
    <row r="1137" spans="4:10" s="22" customFormat="1" x14ac:dyDescent="0.35">
      <c r="D1137" s="3"/>
      <c r="E1137" s="3"/>
      <c r="F1137" s="3"/>
      <c r="G1137" s="3"/>
      <c r="H1137" s="3"/>
      <c r="I1137" s="3"/>
      <c r="J1137" s="3"/>
    </row>
    <row r="1138" spans="4:10" s="22" customFormat="1" x14ac:dyDescent="0.35">
      <c r="D1138" s="3"/>
      <c r="E1138" s="3"/>
      <c r="F1138" s="3"/>
      <c r="G1138" s="3"/>
      <c r="H1138" s="3"/>
      <c r="I1138" s="3"/>
      <c r="J1138" s="3"/>
    </row>
    <row r="1139" spans="4:10" s="22" customFormat="1" x14ac:dyDescent="0.35">
      <c r="D1139" s="3"/>
      <c r="E1139" s="3"/>
      <c r="F1139" s="3"/>
      <c r="G1139" s="3"/>
      <c r="H1139" s="3"/>
      <c r="I1139" s="3"/>
      <c r="J1139" s="3"/>
    </row>
    <row r="1140" spans="4:10" s="22" customFormat="1" x14ac:dyDescent="0.35">
      <c r="D1140" s="3"/>
      <c r="E1140" s="3"/>
      <c r="F1140" s="3"/>
      <c r="G1140" s="3"/>
      <c r="H1140" s="3"/>
      <c r="I1140" s="3"/>
      <c r="J1140" s="3"/>
    </row>
    <row r="1141" spans="4:10" s="22" customFormat="1" x14ac:dyDescent="0.35">
      <c r="D1141" s="3"/>
      <c r="E1141" s="3"/>
      <c r="F1141" s="3"/>
      <c r="G1141" s="3"/>
      <c r="H1141" s="3"/>
      <c r="I1141" s="3"/>
      <c r="J1141" s="3"/>
    </row>
    <row r="1142" spans="4:10" s="22" customFormat="1" x14ac:dyDescent="0.35">
      <c r="D1142" s="3"/>
      <c r="E1142" s="3"/>
      <c r="F1142" s="3"/>
      <c r="G1142" s="3"/>
      <c r="H1142" s="3"/>
      <c r="I1142" s="3"/>
      <c r="J1142" s="3"/>
    </row>
    <row r="1143" spans="4:10" s="22" customFormat="1" x14ac:dyDescent="0.35">
      <c r="D1143" s="3"/>
      <c r="E1143" s="3"/>
      <c r="F1143" s="3"/>
      <c r="G1143" s="3"/>
      <c r="H1143" s="3"/>
      <c r="I1143" s="3"/>
      <c r="J1143" s="3"/>
    </row>
    <row r="1144" spans="4:10" s="22" customFormat="1" x14ac:dyDescent="0.35">
      <c r="D1144" s="3"/>
      <c r="E1144" s="3"/>
      <c r="F1144" s="3"/>
      <c r="G1144" s="3"/>
      <c r="H1144" s="3"/>
      <c r="I1144" s="3"/>
      <c r="J1144" s="3"/>
    </row>
    <row r="1145" spans="4:10" s="22" customFormat="1" x14ac:dyDescent="0.35">
      <c r="D1145" s="3"/>
      <c r="E1145" s="3"/>
      <c r="F1145" s="3"/>
      <c r="G1145" s="3"/>
      <c r="H1145" s="3"/>
      <c r="I1145" s="3"/>
      <c r="J1145" s="3"/>
    </row>
    <row r="1146" spans="4:10" s="22" customFormat="1" x14ac:dyDescent="0.35">
      <c r="D1146" s="3"/>
      <c r="E1146" s="3"/>
      <c r="F1146" s="3"/>
      <c r="G1146" s="3"/>
      <c r="H1146" s="3"/>
      <c r="I1146" s="3"/>
      <c r="J1146" s="3"/>
    </row>
    <row r="1147" spans="4:10" s="22" customFormat="1" x14ac:dyDescent="0.35">
      <c r="D1147" s="3"/>
      <c r="E1147" s="3"/>
      <c r="F1147" s="3"/>
      <c r="G1147" s="3"/>
      <c r="H1147" s="3"/>
      <c r="I1147" s="3"/>
      <c r="J1147" s="3"/>
    </row>
    <row r="1148" spans="4:10" s="22" customFormat="1" x14ac:dyDescent="0.35">
      <c r="D1148" s="3"/>
      <c r="E1148" s="3"/>
      <c r="F1148" s="3"/>
      <c r="G1148" s="3"/>
      <c r="H1148" s="3"/>
      <c r="I1148" s="3"/>
      <c r="J1148" s="3"/>
    </row>
    <row r="1149" spans="4:10" s="22" customFormat="1" x14ac:dyDescent="0.35">
      <c r="D1149" s="3"/>
      <c r="E1149" s="3"/>
      <c r="F1149" s="3"/>
      <c r="G1149" s="3"/>
      <c r="H1149" s="3"/>
      <c r="I1149" s="3"/>
      <c r="J1149" s="3"/>
    </row>
    <row r="1150" spans="4:10" s="22" customFormat="1" x14ac:dyDescent="0.35">
      <c r="D1150" s="3"/>
      <c r="E1150" s="3"/>
      <c r="F1150" s="3"/>
      <c r="G1150" s="3"/>
      <c r="H1150" s="3"/>
      <c r="I1150" s="3"/>
      <c r="J1150" s="3"/>
    </row>
    <row r="1151" spans="4:10" s="22" customFormat="1" x14ac:dyDescent="0.35">
      <c r="D1151" s="3"/>
      <c r="E1151" s="3"/>
      <c r="F1151" s="3"/>
      <c r="G1151" s="3"/>
      <c r="H1151" s="3"/>
      <c r="I1151" s="3"/>
      <c r="J1151" s="3"/>
    </row>
    <row r="1152" spans="4:10" s="22" customFormat="1" x14ac:dyDescent="0.35">
      <c r="D1152" s="3"/>
      <c r="E1152" s="3"/>
      <c r="F1152" s="3"/>
      <c r="G1152" s="3"/>
      <c r="H1152" s="3"/>
      <c r="I1152" s="3"/>
      <c r="J1152" s="3"/>
    </row>
    <row r="1153" spans="4:10" s="22" customFormat="1" x14ac:dyDescent="0.35">
      <c r="D1153" s="3"/>
      <c r="E1153" s="3"/>
      <c r="F1153" s="3"/>
      <c r="G1153" s="3"/>
      <c r="H1153" s="3"/>
      <c r="I1153" s="3"/>
      <c r="J1153" s="3"/>
    </row>
    <row r="1154" spans="4:10" s="22" customFormat="1" x14ac:dyDescent="0.35">
      <c r="D1154" s="3"/>
      <c r="E1154" s="3"/>
      <c r="F1154" s="3"/>
      <c r="G1154" s="3"/>
      <c r="H1154" s="3"/>
      <c r="I1154" s="3"/>
      <c r="J1154" s="3"/>
    </row>
    <row r="1155" spans="4:10" s="22" customFormat="1" x14ac:dyDescent="0.35">
      <c r="D1155" s="3"/>
      <c r="E1155" s="3"/>
      <c r="F1155" s="3"/>
      <c r="G1155" s="3"/>
      <c r="H1155" s="3"/>
      <c r="I1155" s="3"/>
      <c r="J1155" s="3"/>
    </row>
    <row r="1156" spans="4:10" s="22" customFormat="1" x14ac:dyDescent="0.35">
      <c r="D1156" s="3"/>
      <c r="E1156" s="3"/>
      <c r="F1156" s="3"/>
      <c r="G1156" s="3"/>
      <c r="H1156" s="3"/>
      <c r="I1156" s="3"/>
      <c r="J1156" s="3"/>
    </row>
    <row r="1157" spans="4:10" s="22" customFormat="1" x14ac:dyDescent="0.35">
      <c r="D1157" s="3"/>
      <c r="E1157" s="3"/>
      <c r="F1157" s="3"/>
      <c r="G1157" s="3"/>
      <c r="H1157" s="3"/>
      <c r="I1157" s="3"/>
      <c r="J1157" s="3"/>
    </row>
    <row r="1158" spans="4:10" s="22" customFormat="1" x14ac:dyDescent="0.35">
      <c r="D1158" s="3"/>
      <c r="E1158" s="3"/>
      <c r="F1158" s="3"/>
      <c r="G1158" s="3"/>
      <c r="H1158" s="3"/>
      <c r="I1158" s="3"/>
      <c r="J1158" s="3"/>
    </row>
    <row r="1159" spans="4:10" s="22" customFormat="1" x14ac:dyDescent="0.35">
      <c r="D1159" s="3"/>
      <c r="E1159" s="3"/>
      <c r="F1159" s="3"/>
      <c r="G1159" s="3"/>
      <c r="H1159" s="3"/>
      <c r="I1159" s="3"/>
      <c r="J1159" s="3"/>
    </row>
    <row r="1160" spans="4:10" s="22" customFormat="1" x14ac:dyDescent="0.35">
      <c r="D1160" s="3"/>
      <c r="E1160" s="3"/>
      <c r="F1160" s="3"/>
      <c r="G1160" s="3"/>
      <c r="H1160" s="3"/>
      <c r="I1160" s="3"/>
      <c r="J1160" s="3"/>
    </row>
    <row r="1161" spans="4:10" s="22" customFormat="1" x14ac:dyDescent="0.35">
      <c r="D1161" s="3"/>
      <c r="E1161" s="3"/>
      <c r="F1161" s="3"/>
      <c r="G1161" s="3"/>
      <c r="H1161" s="3"/>
      <c r="I1161" s="3"/>
      <c r="J1161" s="3"/>
    </row>
    <row r="1162" spans="4:10" s="22" customFormat="1" x14ac:dyDescent="0.35">
      <c r="D1162" s="3"/>
      <c r="E1162" s="3"/>
      <c r="F1162" s="3"/>
      <c r="G1162" s="3"/>
      <c r="H1162" s="3"/>
      <c r="I1162" s="3"/>
      <c r="J1162" s="3"/>
    </row>
    <row r="1163" spans="4:10" s="22" customFormat="1" x14ac:dyDescent="0.35">
      <c r="D1163" s="3"/>
      <c r="E1163" s="3"/>
      <c r="F1163" s="3"/>
      <c r="G1163" s="3"/>
      <c r="H1163" s="3"/>
      <c r="I1163" s="3"/>
      <c r="J1163" s="3"/>
    </row>
    <row r="1164" spans="4:10" s="22" customFormat="1" x14ac:dyDescent="0.35">
      <c r="D1164" s="3"/>
      <c r="E1164" s="3"/>
      <c r="F1164" s="3"/>
      <c r="G1164" s="3"/>
      <c r="H1164" s="3"/>
      <c r="I1164" s="3"/>
      <c r="J1164" s="3"/>
    </row>
    <row r="1165" spans="4:10" s="22" customFormat="1" x14ac:dyDescent="0.35">
      <c r="D1165" s="3"/>
      <c r="E1165" s="3"/>
      <c r="F1165" s="3"/>
      <c r="G1165" s="3"/>
      <c r="H1165" s="3"/>
      <c r="I1165" s="3"/>
      <c r="J1165" s="3"/>
    </row>
    <row r="1166" spans="4:10" s="22" customFormat="1" x14ac:dyDescent="0.35">
      <c r="D1166" s="3"/>
      <c r="E1166" s="3"/>
      <c r="F1166" s="3"/>
      <c r="G1166" s="3"/>
      <c r="H1166" s="3"/>
      <c r="I1166" s="3"/>
      <c r="J1166" s="3"/>
    </row>
    <row r="1167" spans="4:10" s="22" customFormat="1" x14ac:dyDescent="0.35">
      <c r="D1167" s="3"/>
      <c r="E1167" s="3"/>
      <c r="F1167" s="3"/>
      <c r="G1167" s="3"/>
      <c r="H1167" s="3"/>
      <c r="I1167" s="3"/>
      <c r="J1167" s="3"/>
    </row>
    <row r="1168" spans="4:10" s="22" customFormat="1" x14ac:dyDescent="0.35">
      <c r="D1168" s="3"/>
      <c r="E1168" s="3"/>
      <c r="F1168" s="3"/>
      <c r="G1168" s="3"/>
      <c r="H1168" s="3"/>
      <c r="I1168" s="3"/>
      <c r="J1168" s="3"/>
    </row>
    <row r="1169" spans="4:10" s="22" customFormat="1" x14ac:dyDescent="0.35">
      <c r="D1169" s="3"/>
      <c r="E1169" s="3"/>
      <c r="F1169" s="3"/>
      <c r="G1169" s="3"/>
      <c r="H1169" s="3"/>
      <c r="I1169" s="3"/>
      <c r="J1169" s="3"/>
    </row>
    <row r="1170" spans="4:10" s="22" customFormat="1" x14ac:dyDescent="0.35">
      <c r="D1170" s="3"/>
      <c r="E1170" s="3"/>
      <c r="F1170" s="3"/>
      <c r="G1170" s="3"/>
      <c r="H1170" s="3"/>
      <c r="I1170" s="3"/>
      <c r="J1170" s="3"/>
    </row>
    <row r="1171" spans="4:10" s="22" customFormat="1" x14ac:dyDescent="0.35">
      <c r="D1171" s="3"/>
      <c r="E1171" s="3"/>
      <c r="F1171" s="3"/>
      <c r="G1171" s="3"/>
      <c r="H1171" s="3"/>
      <c r="I1171" s="3"/>
      <c r="J1171" s="3"/>
    </row>
    <row r="1172" spans="4:10" s="22" customFormat="1" x14ac:dyDescent="0.35">
      <c r="D1172" s="3"/>
      <c r="E1172" s="3"/>
      <c r="F1172" s="3"/>
      <c r="G1172" s="3"/>
      <c r="H1172" s="3"/>
      <c r="I1172" s="3"/>
      <c r="J1172" s="3"/>
    </row>
    <row r="1173" spans="4:10" s="22" customFormat="1" x14ac:dyDescent="0.35">
      <c r="D1173" s="3"/>
      <c r="E1173" s="3"/>
      <c r="F1173" s="3"/>
      <c r="G1173" s="3"/>
      <c r="H1173" s="3"/>
      <c r="I1173" s="3"/>
      <c r="J1173" s="3"/>
    </row>
    <row r="1174" spans="4:10" s="22" customFormat="1" x14ac:dyDescent="0.35">
      <c r="D1174" s="3"/>
      <c r="E1174" s="3"/>
      <c r="F1174" s="3"/>
      <c r="G1174" s="3"/>
      <c r="H1174" s="3"/>
      <c r="I1174" s="3"/>
      <c r="J1174" s="3"/>
    </row>
    <row r="1175" spans="4:10" s="22" customFormat="1" x14ac:dyDescent="0.35">
      <c r="D1175" s="3"/>
      <c r="E1175" s="3"/>
      <c r="F1175" s="3"/>
      <c r="G1175" s="3"/>
      <c r="H1175" s="3"/>
      <c r="I1175" s="3"/>
      <c r="J1175" s="3"/>
    </row>
    <row r="1176" spans="4:10" s="22" customFormat="1" x14ac:dyDescent="0.35">
      <c r="D1176" s="3"/>
      <c r="E1176" s="3"/>
      <c r="F1176" s="3"/>
      <c r="G1176" s="3"/>
      <c r="H1176" s="3"/>
      <c r="I1176" s="3"/>
      <c r="J1176" s="3"/>
    </row>
    <row r="1177" spans="4:10" s="22" customFormat="1" x14ac:dyDescent="0.35">
      <c r="D1177" s="3"/>
      <c r="E1177" s="3"/>
      <c r="F1177" s="3"/>
      <c r="G1177" s="3"/>
      <c r="H1177" s="3"/>
      <c r="I1177" s="3"/>
      <c r="J1177" s="3"/>
    </row>
    <row r="1178" spans="4:10" s="22" customFormat="1" x14ac:dyDescent="0.35">
      <c r="D1178" s="3"/>
      <c r="E1178" s="3"/>
      <c r="F1178" s="3"/>
      <c r="G1178" s="3"/>
      <c r="H1178" s="3"/>
      <c r="I1178" s="3"/>
      <c r="J1178" s="3"/>
    </row>
    <row r="1179" spans="4:10" s="22" customFormat="1" x14ac:dyDescent="0.35">
      <c r="D1179" s="3"/>
      <c r="E1179" s="3"/>
      <c r="F1179" s="3"/>
      <c r="G1179" s="3"/>
      <c r="H1179" s="3"/>
      <c r="I1179" s="3"/>
      <c r="J1179" s="3"/>
    </row>
    <row r="1180" spans="4:10" s="22" customFormat="1" x14ac:dyDescent="0.35">
      <c r="D1180" s="3"/>
      <c r="E1180" s="3"/>
      <c r="F1180" s="3"/>
      <c r="G1180" s="3"/>
      <c r="H1180" s="3"/>
      <c r="I1180" s="3"/>
      <c r="J1180" s="3"/>
    </row>
    <row r="1181" spans="4:10" s="22" customFormat="1" x14ac:dyDescent="0.35">
      <c r="D1181" s="3"/>
      <c r="E1181" s="3"/>
      <c r="F1181" s="3"/>
      <c r="G1181" s="3"/>
      <c r="H1181" s="3"/>
      <c r="I1181" s="3"/>
      <c r="J1181" s="3"/>
    </row>
    <row r="1182" spans="4:10" s="22" customFormat="1" x14ac:dyDescent="0.35">
      <c r="D1182" s="3"/>
      <c r="E1182" s="3"/>
      <c r="F1182" s="3"/>
      <c r="G1182" s="3"/>
      <c r="H1182" s="3"/>
      <c r="I1182" s="3"/>
      <c r="J1182" s="3"/>
    </row>
    <row r="1183" spans="4:10" s="22" customFormat="1" x14ac:dyDescent="0.35">
      <c r="D1183" s="3"/>
      <c r="E1183" s="3"/>
      <c r="F1183" s="3"/>
      <c r="G1183" s="3"/>
      <c r="H1183" s="3"/>
      <c r="I1183" s="3"/>
      <c r="J1183" s="3"/>
    </row>
    <row r="1184" spans="4:10" s="22" customFormat="1" x14ac:dyDescent="0.35">
      <c r="D1184" s="3"/>
      <c r="E1184" s="3"/>
      <c r="F1184" s="3"/>
      <c r="G1184" s="3"/>
      <c r="H1184" s="3"/>
      <c r="I1184" s="3"/>
      <c r="J1184" s="3"/>
    </row>
    <row r="1185" spans="4:10" s="22" customFormat="1" x14ac:dyDescent="0.35">
      <c r="D1185" s="3"/>
      <c r="E1185" s="3"/>
      <c r="F1185" s="3"/>
      <c r="G1185" s="3"/>
      <c r="H1185" s="3"/>
      <c r="I1185" s="3"/>
      <c r="J1185" s="3"/>
    </row>
    <row r="1186" spans="4:10" s="22" customFormat="1" x14ac:dyDescent="0.35">
      <c r="D1186" s="3"/>
      <c r="E1186" s="3"/>
      <c r="F1186" s="3"/>
      <c r="G1186" s="3"/>
      <c r="H1186" s="3"/>
      <c r="I1186" s="3"/>
      <c r="J1186" s="3"/>
    </row>
    <row r="1187" spans="4:10" s="22" customFormat="1" x14ac:dyDescent="0.35">
      <c r="D1187" s="3"/>
      <c r="E1187" s="3"/>
      <c r="F1187" s="3"/>
      <c r="G1187" s="3"/>
      <c r="H1187" s="3"/>
      <c r="I1187" s="3"/>
      <c r="J1187" s="3"/>
    </row>
    <row r="1188" spans="4:10" s="22" customFormat="1" x14ac:dyDescent="0.35">
      <c r="D1188" s="3"/>
      <c r="E1188" s="3"/>
      <c r="F1188" s="3"/>
      <c r="G1188" s="3"/>
      <c r="H1188" s="3"/>
      <c r="I1188" s="3"/>
      <c r="J1188" s="3"/>
    </row>
    <row r="1189" spans="4:10" s="22" customFormat="1" x14ac:dyDescent="0.35">
      <c r="D1189" s="3"/>
      <c r="E1189" s="3"/>
      <c r="F1189" s="3"/>
      <c r="G1189" s="3"/>
      <c r="H1189" s="3"/>
      <c r="I1189" s="3"/>
      <c r="J1189" s="3"/>
    </row>
    <row r="1190" spans="4:10" s="22" customFormat="1" x14ac:dyDescent="0.35">
      <c r="D1190" s="3"/>
      <c r="E1190" s="3"/>
      <c r="F1190" s="3"/>
      <c r="G1190" s="3"/>
      <c r="H1190" s="3"/>
      <c r="I1190" s="3"/>
      <c r="J1190" s="3"/>
    </row>
    <row r="1191" spans="4:10" s="22" customFormat="1" x14ac:dyDescent="0.35">
      <c r="D1191" s="3"/>
      <c r="E1191" s="3"/>
      <c r="F1191" s="3"/>
      <c r="G1191" s="3"/>
      <c r="H1191" s="3"/>
      <c r="I1191" s="3"/>
      <c r="J1191" s="3"/>
    </row>
    <row r="1192" spans="4:10" s="22" customFormat="1" x14ac:dyDescent="0.35">
      <c r="D1192" s="3"/>
      <c r="E1192" s="3"/>
      <c r="F1192" s="3"/>
      <c r="G1192" s="3"/>
      <c r="H1192" s="3"/>
      <c r="I1192" s="3"/>
      <c r="J1192" s="3"/>
    </row>
    <row r="1193" spans="4:10" s="22" customFormat="1" x14ac:dyDescent="0.35">
      <c r="D1193" s="3"/>
      <c r="E1193" s="3"/>
      <c r="F1193" s="3"/>
      <c r="G1193" s="3"/>
      <c r="H1193" s="3"/>
      <c r="I1193" s="3"/>
      <c r="J1193" s="3"/>
    </row>
    <row r="1194" spans="4:10" s="22" customFormat="1" x14ac:dyDescent="0.35">
      <c r="D1194" s="3"/>
      <c r="E1194" s="3"/>
      <c r="F1194" s="3"/>
      <c r="G1194" s="3"/>
      <c r="H1194" s="3"/>
      <c r="I1194" s="3"/>
      <c r="J1194" s="3"/>
    </row>
    <row r="1195" spans="4:10" s="22" customFormat="1" x14ac:dyDescent="0.35">
      <c r="D1195" s="3"/>
      <c r="E1195" s="3"/>
      <c r="F1195" s="3"/>
      <c r="G1195" s="3"/>
      <c r="H1195" s="3"/>
      <c r="I1195" s="3"/>
      <c r="J1195" s="3"/>
    </row>
    <row r="1196" spans="4:10" s="22" customFormat="1" x14ac:dyDescent="0.35">
      <c r="D1196" s="3"/>
      <c r="E1196" s="3"/>
      <c r="F1196" s="3"/>
      <c r="G1196" s="3"/>
      <c r="H1196" s="3"/>
      <c r="I1196" s="3"/>
      <c r="J1196" s="3"/>
    </row>
    <row r="1197" spans="4:10" s="22" customFormat="1" x14ac:dyDescent="0.35">
      <c r="D1197" s="3"/>
      <c r="E1197" s="3"/>
      <c r="F1197" s="3"/>
      <c r="G1197" s="3"/>
      <c r="H1197" s="3"/>
      <c r="I1197" s="3"/>
      <c r="J1197" s="3"/>
    </row>
    <row r="1198" spans="4:10" s="22" customFormat="1" x14ac:dyDescent="0.35">
      <c r="D1198" s="3"/>
      <c r="E1198" s="3"/>
      <c r="F1198" s="3"/>
      <c r="G1198" s="3"/>
      <c r="H1198" s="3"/>
      <c r="I1198" s="3"/>
      <c r="J1198" s="3"/>
    </row>
    <row r="1199" spans="4:10" s="22" customFormat="1" x14ac:dyDescent="0.35">
      <c r="D1199" s="3"/>
      <c r="E1199" s="3"/>
      <c r="F1199" s="3"/>
      <c r="G1199" s="3"/>
      <c r="H1199" s="3"/>
      <c r="I1199" s="3"/>
      <c r="J1199" s="3"/>
    </row>
    <row r="1200" spans="4:10" s="22" customFormat="1" x14ac:dyDescent="0.35">
      <c r="D1200" s="3"/>
      <c r="E1200" s="3"/>
      <c r="F1200" s="3"/>
      <c r="G1200" s="3"/>
      <c r="H1200" s="3"/>
      <c r="I1200" s="3"/>
      <c r="J1200" s="3"/>
    </row>
    <row r="1201" spans="4:10" s="22" customFormat="1" x14ac:dyDescent="0.35">
      <c r="D1201" s="3"/>
      <c r="E1201" s="3"/>
      <c r="F1201" s="3"/>
      <c r="G1201" s="3"/>
      <c r="H1201" s="3"/>
      <c r="I1201" s="3"/>
      <c r="J1201" s="3"/>
    </row>
    <row r="1202" spans="4:10" s="22" customFormat="1" x14ac:dyDescent="0.35">
      <c r="D1202" s="3"/>
      <c r="E1202" s="3"/>
      <c r="F1202" s="3"/>
      <c r="G1202" s="3"/>
      <c r="H1202" s="3"/>
      <c r="I1202" s="3"/>
      <c r="J1202" s="3"/>
    </row>
    <row r="1203" spans="4:10" s="22" customFormat="1" x14ac:dyDescent="0.35">
      <c r="D1203" s="3"/>
      <c r="E1203" s="3"/>
      <c r="F1203" s="3"/>
      <c r="G1203" s="3"/>
      <c r="H1203" s="3"/>
      <c r="I1203" s="3"/>
      <c r="J1203" s="3"/>
    </row>
    <row r="1204" spans="4:10" s="22" customFormat="1" x14ac:dyDescent="0.35">
      <c r="D1204" s="3"/>
      <c r="E1204" s="3"/>
      <c r="F1204" s="3"/>
      <c r="G1204" s="3"/>
      <c r="H1204" s="3"/>
      <c r="I1204" s="3"/>
      <c r="J1204" s="3"/>
    </row>
    <row r="1205" spans="4:10" s="22" customFormat="1" x14ac:dyDescent="0.35">
      <c r="D1205" s="3"/>
      <c r="E1205" s="3"/>
      <c r="F1205" s="3"/>
      <c r="G1205" s="3"/>
      <c r="H1205" s="3"/>
      <c r="I1205" s="3"/>
      <c r="J1205" s="3"/>
    </row>
    <row r="1206" spans="4:10" s="22" customFormat="1" x14ac:dyDescent="0.35">
      <c r="D1206" s="3"/>
      <c r="E1206" s="3"/>
      <c r="F1206" s="3"/>
      <c r="G1206" s="3"/>
      <c r="H1206" s="3"/>
      <c r="I1206" s="3"/>
      <c r="J1206" s="3"/>
    </row>
    <row r="1207" spans="4:10" s="22" customFormat="1" x14ac:dyDescent="0.35">
      <c r="D1207" s="3"/>
      <c r="E1207" s="3"/>
      <c r="F1207" s="3"/>
      <c r="G1207" s="3"/>
      <c r="H1207" s="3"/>
      <c r="I1207" s="3"/>
      <c r="J1207" s="3"/>
    </row>
    <row r="1208" spans="4:10" s="22" customFormat="1" x14ac:dyDescent="0.35">
      <c r="D1208" s="3"/>
      <c r="E1208" s="3"/>
      <c r="F1208" s="3"/>
      <c r="G1208" s="3"/>
      <c r="H1208" s="3"/>
      <c r="I1208" s="3"/>
      <c r="J1208" s="3"/>
    </row>
    <row r="1209" spans="4:10" s="22" customFormat="1" x14ac:dyDescent="0.35">
      <c r="D1209" s="3"/>
      <c r="E1209" s="3"/>
      <c r="F1209" s="3"/>
      <c r="G1209" s="3"/>
      <c r="H1209" s="3"/>
      <c r="I1209" s="3"/>
      <c r="J1209" s="3"/>
    </row>
    <row r="1210" spans="4:10" s="22" customFormat="1" x14ac:dyDescent="0.35">
      <c r="D1210" s="3"/>
      <c r="E1210" s="3"/>
      <c r="F1210" s="3"/>
      <c r="G1210" s="3"/>
      <c r="H1210" s="3"/>
      <c r="I1210" s="3"/>
      <c r="J1210" s="3"/>
    </row>
    <row r="1211" spans="4:10" s="22" customFormat="1" x14ac:dyDescent="0.35">
      <c r="D1211" s="3"/>
      <c r="E1211" s="3"/>
      <c r="F1211" s="3"/>
      <c r="G1211" s="3"/>
      <c r="H1211" s="3"/>
      <c r="I1211" s="3"/>
      <c r="J1211" s="3"/>
    </row>
    <row r="1212" spans="4:10" s="22" customFormat="1" x14ac:dyDescent="0.35">
      <c r="D1212" s="3"/>
      <c r="E1212" s="3"/>
      <c r="F1212" s="3"/>
      <c r="G1212" s="3"/>
      <c r="H1212" s="3"/>
      <c r="I1212" s="3"/>
      <c r="J1212" s="3"/>
    </row>
    <row r="1213" spans="4:10" s="22" customFormat="1" x14ac:dyDescent="0.35">
      <c r="D1213" s="3"/>
      <c r="E1213" s="3"/>
      <c r="F1213" s="3"/>
      <c r="G1213" s="3"/>
      <c r="H1213" s="3"/>
      <c r="I1213" s="3"/>
      <c r="J1213" s="3"/>
    </row>
    <row r="1214" spans="4:10" s="22" customFormat="1" x14ac:dyDescent="0.35">
      <c r="D1214" s="3"/>
      <c r="E1214" s="3"/>
      <c r="F1214" s="3"/>
      <c r="G1214" s="3"/>
      <c r="H1214" s="3"/>
      <c r="I1214" s="3"/>
      <c r="J1214" s="3"/>
    </row>
    <row r="1215" spans="4:10" s="22" customFormat="1" x14ac:dyDescent="0.35">
      <c r="D1215" s="3"/>
      <c r="E1215" s="3"/>
      <c r="F1215" s="3"/>
      <c r="G1215" s="3"/>
      <c r="H1215" s="3"/>
      <c r="I1215" s="3"/>
      <c r="J1215" s="3"/>
    </row>
    <row r="1216" spans="4:10" s="22" customFormat="1" x14ac:dyDescent="0.35">
      <c r="D1216" s="3"/>
      <c r="E1216" s="3"/>
      <c r="F1216" s="3"/>
      <c r="G1216" s="3"/>
      <c r="H1216" s="3"/>
      <c r="I1216" s="3"/>
      <c r="J1216" s="3"/>
    </row>
    <row r="1217" spans="4:10" s="22" customFormat="1" x14ac:dyDescent="0.35">
      <c r="D1217" s="3"/>
      <c r="E1217" s="3"/>
      <c r="F1217" s="3"/>
      <c r="G1217" s="3"/>
      <c r="H1217" s="3"/>
      <c r="I1217" s="3"/>
      <c r="J1217" s="3"/>
    </row>
    <row r="1218" spans="4:10" s="22" customFormat="1" x14ac:dyDescent="0.35">
      <c r="D1218" s="3" t="s">
        <v>272</v>
      </c>
      <c r="E1218" s="3"/>
      <c r="F1218" s="3"/>
      <c r="G1218" s="3"/>
      <c r="H1218" s="3"/>
      <c r="I1218" s="3"/>
      <c r="J1218" s="3"/>
    </row>
    <row r="1219" spans="4:10" s="22" customFormat="1" x14ac:dyDescent="0.35">
      <c r="D1219" s="3" t="s">
        <v>273</v>
      </c>
      <c r="E1219" s="3"/>
      <c r="F1219" s="3"/>
      <c r="G1219" s="3"/>
      <c r="H1219" s="3"/>
      <c r="I1219" s="3"/>
      <c r="J1219" s="3"/>
    </row>
    <row r="1220" spans="4:10" s="22" customFormat="1" x14ac:dyDescent="0.35">
      <c r="D1220" s="3"/>
      <c r="E1220" s="3"/>
      <c r="F1220" s="3"/>
      <c r="G1220" s="3"/>
      <c r="H1220" s="3"/>
      <c r="I1220" s="3"/>
      <c r="J1220" s="3"/>
    </row>
    <row r="1221" spans="4:10" s="22" customFormat="1" x14ac:dyDescent="0.35">
      <c r="D1221" s="3"/>
      <c r="E1221" s="3"/>
      <c r="F1221" s="3"/>
      <c r="G1221" s="3"/>
      <c r="H1221" s="3"/>
      <c r="I1221" s="3"/>
      <c r="J1221" s="3"/>
    </row>
    <row r="1222" spans="4:10" s="22" customFormat="1" x14ac:dyDescent="0.35">
      <c r="D1222" s="3"/>
      <c r="E1222" s="3"/>
      <c r="F1222" s="3"/>
      <c r="G1222" s="3"/>
      <c r="H1222" s="3"/>
      <c r="I1222" s="3"/>
      <c r="J1222" s="3"/>
    </row>
    <row r="1223" spans="4:10" s="22" customFormat="1" x14ac:dyDescent="0.35">
      <c r="D1223" s="3"/>
      <c r="E1223" s="3"/>
      <c r="F1223" s="3"/>
      <c r="G1223" s="3"/>
      <c r="H1223" s="3"/>
      <c r="I1223" s="3"/>
      <c r="J1223" s="3"/>
    </row>
    <row r="1224" spans="4:10" s="22" customFormat="1" x14ac:dyDescent="0.35">
      <c r="D1224" s="3"/>
      <c r="E1224" s="3"/>
      <c r="F1224" s="3"/>
      <c r="G1224" s="3"/>
      <c r="H1224" s="3"/>
      <c r="I1224" s="3"/>
      <c r="J1224" s="3"/>
    </row>
    <row r="1225" spans="4:10" s="22" customFormat="1" x14ac:dyDescent="0.35">
      <c r="D1225" s="3"/>
      <c r="E1225" s="3"/>
      <c r="F1225" s="3"/>
      <c r="G1225" s="3"/>
      <c r="H1225" s="3"/>
      <c r="I1225" s="3"/>
      <c r="J1225" s="3"/>
    </row>
    <row r="1226" spans="4:10" s="22" customFormat="1" x14ac:dyDescent="0.35">
      <c r="D1226" s="3"/>
      <c r="E1226" s="3"/>
      <c r="F1226" s="3"/>
      <c r="G1226" s="3"/>
      <c r="H1226" s="3"/>
      <c r="I1226" s="3"/>
      <c r="J1226" s="3"/>
    </row>
    <row r="1227" spans="4:10" s="22" customFormat="1" x14ac:dyDescent="0.35">
      <c r="D1227" s="3"/>
      <c r="E1227" s="3"/>
      <c r="F1227" s="3"/>
      <c r="G1227" s="3"/>
      <c r="H1227" s="3"/>
      <c r="I1227" s="3"/>
      <c r="J1227" s="3"/>
    </row>
    <row r="1228" spans="4:10" s="22" customFormat="1" x14ac:dyDescent="0.35">
      <c r="D1228" s="3"/>
      <c r="E1228" s="3"/>
      <c r="F1228" s="3"/>
      <c r="G1228" s="3"/>
      <c r="H1228" s="3"/>
      <c r="I1228" s="3"/>
      <c r="J1228" s="3"/>
    </row>
    <row r="1229" spans="4:10" s="22" customFormat="1" x14ac:dyDescent="0.35">
      <c r="D1229" s="3"/>
      <c r="E1229" s="3"/>
      <c r="F1229" s="3"/>
      <c r="G1229" s="3"/>
      <c r="H1229" s="3"/>
      <c r="I1229" s="3"/>
      <c r="J1229" s="3"/>
    </row>
    <row r="1230" spans="4:10" s="22" customFormat="1" x14ac:dyDescent="0.35">
      <c r="D1230" s="3"/>
      <c r="E1230" s="3"/>
      <c r="F1230" s="3"/>
      <c r="G1230" s="3"/>
      <c r="H1230" s="3"/>
      <c r="I1230" s="3"/>
      <c r="J1230" s="3"/>
    </row>
    <row r="1231" spans="4:10" s="22" customFormat="1" x14ac:dyDescent="0.35">
      <c r="D1231" s="3"/>
      <c r="E1231" s="3"/>
      <c r="F1231" s="3"/>
      <c r="G1231" s="3"/>
      <c r="H1231" s="3"/>
      <c r="I1231" s="3"/>
      <c r="J1231" s="3"/>
    </row>
    <row r="1232" spans="4:10" s="22" customFormat="1" x14ac:dyDescent="0.35">
      <c r="D1232" s="3"/>
      <c r="E1232" s="3"/>
      <c r="F1232" s="3"/>
      <c r="G1232" s="3"/>
      <c r="H1232" s="3"/>
      <c r="I1232" s="3"/>
      <c r="J1232" s="3"/>
    </row>
    <row r="1233" spans="4:10" s="22" customFormat="1" x14ac:dyDescent="0.35">
      <c r="D1233" s="3"/>
      <c r="E1233" s="3"/>
      <c r="F1233" s="3"/>
      <c r="G1233" s="3"/>
      <c r="H1233" s="3"/>
      <c r="I1233" s="3"/>
      <c r="J1233" s="3"/>
    </row>
    <row r="1234" spans="4:10" s="22" customFormat="1" x14ac:dyDescent="0.35">
      <c r="D1234" s="3"/>
      <c r="E1234" s="3"/>
      <c r="F1234" s="3"/>
      <c r="G1234" s="3"/>
      <c r="H1234" s="3"/>
      <c r="I1234" s="3"/>
      <c r="J1234" s="3"/>
    </row>
    <row r="1235" spans="4:10" s="22" customFormat="1" x14ac:dyDescent="0.35">
      <c r="D1235" s="3"/>
      <c r="E1235" s="3"/>
      <c r="F1235" s="3"/>
      <c r="G1235" s="3"/>
      <c r="H1235" s="3"/>
      <c r="I1235" s="3"/>
      <c r="J1235" s="3"/>
    </row>
    <row r="1236" spans="4:10" s="22" customFormat="1" x14ac:dyDescent="0.35">
      <c r="D1236" s="3"/>
      <c r="E1236" s="3"/>
      <c r="F1236" s="3"/>
      <c r="G1236" s="3"/>
      <c r="H1236" s="3"/>
      <c r="I1236" s="3"/>
      <c r="J1236" s="3"/>
    </row>
    <row r="1237" spans="4:10" s="22" customFormat="1" x14ac:dyDescent="0.35">
      <c r="D1237" s="3"/>
      <c r="E1237" s="3"/>
      <c r="F1237" s="3"/>
      <c r="G1237" s="3"/>
      <c r="H1237" s="3"/>
      <c r="I1237" s="3"/>
      <c r="J1237" s="3"/>
    </row>
    <row r="1238" spans="4:10" s="22" customFormat="1" x14ac:dyDescent="0.35">
      <c r="D1238" s="3"/>
      <c r="E1238" s="3"/>
      <c r="F1238" s="3"/>
      <c r="G1238" s="3"/>
      <c r="H1238" s="3"/>
      <c r="I1238" s="3"/>
      <c r="J1238" s="3"/>
    </row>
    <row r="1239" spans="4:10" s="22" customFormat="1" x14ac:dyDescent="0.35">
      <c r="D1239" s="3"/>
      <c r="E1239" s="3"/>
      <c r="F1239" s="3"/>
      <c r="G1239" s="3"/>
      <c r="H1239" s="3"/>
      <c r="I1239" s="3"/>
      <c r="J1239" s="3"/>
    </row>
    <row r="1240" spans="4:10" s="22" customFormat="1" x14ac:dyDescent="0.35">
      <c r="D1240" s="3"/>
      <c r="E1240" s="3"/>
      <c r="F1240" s="3"/>
      <c r="G1240" s="3"/>
      <c r="H1240" s="3"/>
      <c r="I1240" s="3"/>
      <c r="J1240" s="3"/>
    </row>
    <row r="1241" spans="4:10" s="22" customFormat="1" x14ac:dyDescent="0.35">
      <c r="D1241" s="3"/>
      <c r="E1241" s="3"/>
      <c r="F1241" s="3"/>
      <c r="G1241" s="3"/>
      <c r="H1241" s="3"/>
      <c r="I1241" s="3"/>
      <c r="J1241" s="3"/>
    </row>
    <row r="1242" spans="4:10" s="22" customFormat="1" x14ac:dyDescent="0.35">
      <c r="D1242" s="3"/>
      <c r="E1242" s="3"/>
      <c r="F1242" s="3"/>
      <c r="G1242" s="3"/>
      <c r="H1242" s="3"/>
      <c r="I1242" s="3"/>
      <c r="J1242" s="3"/>
    </row>
    <row r="1243" spans="4:10" s="22" customFormat="1" x14ac:dyDescent="0.35">
      <c r="D1243" s="3"/>
      <c r="E1243" s="3"/>
      <c r="F1243" s="3"/>
      <c r="G1243" s="3"/>
      <c r="H1243" s="3"/>
      <c r="I1243" s="3"/>
      <c r="J1243" s="3"/>
    </row>
    <row r="1244" spans="4:10" s="22" customFormat="1" x14ac:dyDescent="0.35">
      <c r="D1244" s="3"/>
      <c r="E1244" s="3"/>
      <c r="F1244" s="3"/>
      <c r="G1244" s="3"/>
      <c r="H1244" s="3"/>
      <c r="I1244" s="3"/>
      <c r="J1244" s="3"/>
    </row>
    <row r="1245" spans="4:10" s="22" customFormat="1" x14ac:dyDescent="0.35">
      <c r="D1245" s="3"/>
      <c r="E1245" s="3"/>
      <c r="F1245" s="3"/>
      <c r="G1245" s="3"/>
      <c r="H1245" s="3"/>
      <c r="I1245" s="3"/>
      <c r="J1245" s="3"/>
    </row>
    <row r="1246" spans="4:10" s="22" customFormat="1" x14ac:dyDescent="0.35">
      <c r="D1246" s="3"/>
      <c r="E1246" s="3"/>
      <c r="F1246" s="3"/>
      <c r="G1246" s="3"/>
      <c r="H1246" s="3"/>
      <c r="I1246" s="3"/>
      <c r="J1246" s="3"/>
    </row>
    <row r="1247" spans="4:10" s="22" customFormat="1" x14ac:dyDescent="0.35">
      <c r="D1247" s="3"/>
      <c r="E1247" s="3"/>
      <c r="F1247" s="3"/>
      <c r="G1247" s="3"/>
      <c r="H1247" s="3"/>
      <c r="I1247" s="3"/>
      <c r="J1247" s="3"/>
    </row>
    <row r="1248" spans="4:10" s="22" customFormat="1" x14ac:dyDescent="0.35">
      <c r="D1248" s="3"/>
      <c r="E1248" s="3"/>
      <c r="F1248" s="3"/>
      <c r="G1248" s="3"/>
      <c r="H1248" s="3"/>
      <c r="I1248" s="3"/>
      <c r="J1248" s="3"/>
    </row>
    <row r="1249" spans="4:10" s="22" customFormat="1" x14ac:dyDescent="0.35">
      <c r="D1249" s="3"/>
      <c r="E1249" s="3"/>
      <c r="F1249" s="3"/>
      <c r="G1249" s="3"/>
      <c r="H1249" s="3"/>
      <c r="I1249" s="3"/>
      <c r="J1249" s="3"/>
    </row>
    <row r="1250" spans="4:10" s="22" customFormat="1" x14ac:dyDescent="0.35">
      <c r="D1250" s="3"/>
      <c r="E1250" s="3"/>
      <c r="F1250" s="3"/>
      <c r="G1250" s="3"/>
      <c r="H1250" s="3"/>
      <c r="I1250" s="3"/>
      <c r="J1250" s="3"/>
    </row>
    <row r="1251" spans="4:10" s="22" customFormat="1" x14ac:dyDescent="0.35">
      <c r="D1251" s="3"/>
      <c r="E1251" s="3"/>
      <c r="F1251" s="3"/>
      <c r="G1251" s="3"/>
      <c r="H1251" s="3"/>
      <c r="I1251" s="3"/>
      <c r="J1251" s="3"/>
    </row>
    <row r="1252" spans="4:10" s="22" customFormat="1" x14ac:dyDescent="0.35">
      <c r="D1252" s="3"/>
      <c r="E1252" s="3"/>
      <c r="F1252" s="3"/>
      <c r="G1252" s="3"/>
      <c r="H1252" s="3"/>
      <c r="I1252" s="3"/>
      <c r="J1252" s="3"/>
    </row>
    <row r="1253" spans="4:10" s="22" customFormat="1" x14ac:dyDescent="0.35">
      <c r="D1253" s="3"/>
      <c r="E1253" s="3"/>
      <c r="F1253" s="3"/>
      <c r="G1253" s="3"/>
      <c r="H1253" s="3"/>
      <c r="I1253" s="3"/>
      <c r="J1253" s="3"/>
    </row>
    <row r="1254" spans="4:10" s="22" customFormat="1" x14ac:dyDescent="0.35">
      <c r="D1254" s="3"/>
      <c r="E1254" s="3"/>
      <c r="F1254" s="3"/>
      <c r="G1254" s="3"/>
      <c r="H1254" s="3"/>
      <c r="I1254" s="3"/>
      <c r="J1254" s="3"/>
    </row>
    <row r="1255" spans="4:10" s="22" customFormat="1" x14ac:dyDescent="0.35">
      <c r="D1255" s="3"/>
      <c r="E1255" s="3"/>
      <c r="F1255" s="3"/>
      <c r="G1255" s="3"/>
      <c r="H1255" s="3"/>
      <c r="I1255" s="3"/>
      <c r="J1255" s="3"/>
    </row>
    <row r="1256" spans="4:10" s="22" customFormat="1" x14ac:dyDescent="0.35">
      <c r="D1256" s="3"/>
      <c r="E1256" s="3"/>
      <c r="F1256" s="3"/>
      <c r="G1256" s="3"/>
      <c r="H1256" s="3"/>
      <c r="I1256" s="3"/>
      <c r="J1256" s="3"/>
    </row>
    <row r="1257" spans="4:10" s="22" customFormat="1" x14ac:dyDescent="0.35">
      <c r="D1257" s="3" t="s">
        <v>274</v>
      </c>
      <c r="E1257" s="3"/>
      <c r="F1257" s="3"/>
      <c r="G1257" s="3"/>
      <c r="H1257" s="3"/>
      <c r="I1257" s="3"/>
      <c r="J1257" s="3"/>
    </row>
    <row r="1258" spans="4:10" s="22" customFormat="1" x14ac:dyDescent="0.35">
      <c r="D1258" s="3"/>
      <c r="E1258" s="3"/>
      <c r="F1258" s="3"/>
      <c r="G1258" s="3"/>
      <c r="H1258" s="3"/>
      <c r="I1258" s="3"/>
      <c r="J1258" s="3"/>
    </row>
    <row r="1259" spans="4:10" s="22" customFormat="1" x14ac:dyDescent="0.35">
      <c r="D1259" s="3"/>
      <c r="E1259" s="3"/>
      <c r="F1259" s="3"/>
      <c r="G1259" s="3"/>
      <c r="H1259" s="3"/>
      <c r="I1259" s="3"/>
      <c r="J1259" s="3"/>
    </row>
    <row r="1260" spans="4:10" s="22" customFormat="1" x14ac:dyDescent="0.35">
      <c r="D1260" s="3"/>
      <c r="E1260" s="3"/>
      <c r="F1260" s="3"/>
      <c r="G1260" s="3"/>
      <c r="H1260" s="3"/>
      <c r="I1260" s="3"/>
      <c r="J1260" s="3"/>
    </row>
    <row r="1261" spans="4:10" s="22" customFormat="1" x14ac:dyDescent="0.35">
      <c r="D1261" s="3"/>
      <c r="E1261" s="3"/>
      <c r="F1261" s="3"/>
      <c r="G1261" s="3"/>
      <c r="H1261" s="3"/>
      <c r="I1261" s="3"/>
      <c r="J1261" s="3"/>
    </row>
    <row r="1262" spans="4:10" s="22" customFormat="1" x14ac:dyDescent="0.35">
      <c r="D1262" s="3"/>
      <c r="E1262" s="3"/>
      <c r="F1262" s="3"/>
      <c r="G1262" s="3"/>
      <c r="H1262" s="3"/>
      <c r="I1262" s="3"/>
      <c r="J1262" s="3"/>
    </row>
    <row r="1263" spans="4:10" s="22" customFormat="1" x14ac:dyDescent="0.35">
      <c r="D1263" s="3"/>
      <c r="E1263" s="3"/>
      <c r="F1263" s="3"/>
      <c r="G1263" s="3"/>
      <c r="H1263" s="3"/>
      <c r="I1263" s="3"/>
      <c r="J1263" s="3"/>
    </row>
    <row r="1264" spans="4:10" s="22" customFormat="1" x14ac:dyDescent="0.35">
      <c r="D1264" s="3"/>
      <c r="E1264" s="3"/>
      <c r="F1264" s="3"/>
      <c r="G1264" s="3"/>
      <c r="H1264" s="3"/>
      <c r="I1264" s="3"/>
      <c r="J1264" s="3"/>
    </row>
    <row r="1265" spans="4:10" s="22" customFormat="1" x14ac:dyDescent="0.35">
      <c r="D1265" s="3"/>
      <c r="E1265" s="3"/>
      <c r="F1265" s="3"/>
      <c r="G1265" s="3"/>
      <c r="H1265" s="3"/>
      <c r="I1265" s="3"/>
      <c r="J1265" s="3"/>
    </row>
    <row r="1266" spans="4:10" s="22" customFormat="1" x14ac:dyDescent="0.35">
      <c r="D1266" s="3"/>
      <c r="E1266" s="3"/>
      <c r="F1266" s="3"/>
      <c r="G1266" s="3"/>
      <c r="H1266" s="3"/>
      <c r="I1266" s="3"/>
      <c r="J1266" s="3"/>
    </row>
    <row r="1267" spans="4:10" s="22" customFormat="1" x14ac:dyDescent="0.35">
      <c r="D1267" s="3"/>
      <c r="E1267" s="3"/>
      <c r="F1267" s="3"/>
      <c r="G1267" s="3"/>
      <c r="H1267" s="3"/>
      <c r="I1267" s="3"/>
      <c r="J1267" s="3"/>
    </row>
    <row r="1268" spans="4:10" s="22" customFormat="1" x14ac:dyDescent="0.35">
      <c r="D1268" s="3"/>
      <c r="E1268" s="3"/>
      <c r="F1268" s="3"/>
      <c r="G1268" s="3"/>
      <c r="H1268" s="3"/>
      <c r="I1268" s="3"/>
      <c r="J1268" s="3"/>
    </row>
    <row r="1269" spans="4:10" s="22" customFormat="1" x14ac:dyDescent="0.35">
      <c r="D1269" s="3"/>
      <c r="E1269" s="3"/>
      <c r="F1269" s="3"/>
      <c r="G1269" s="3"/>
      <c r="H1269" s="3"/>
      <c r="I1269" s="3"/>
      <c r="J1269" s="3"/>
    </row>
    <row r="1270" spans="4:10" s="22" customFormat="1" x14ac:dyDescent="0.35">
      <c r="D1270" s="3"/>
      <c r="E1270" s="3"/>
      <c r="F1270" s="3"/>
      <c r="G1270" s="3"/>
      <c r="H1270" s="3"/>
      <c r="I1270" s="3"/>
      <c r="J1270" s="3"/>
    </row>
    <row r="1271" spans="4:10" s="22" customFormat="1" x14ac:dyDescent="0.35">
      <c r="D1271" s="3"/>
      <c r="E1271" s="3"/>
      <c r="F1271" s="3"/>
      <c r="G1271" s="3"/>
      <c r="H1271" s="3"/>
      <c r="I1271" s="3"/>
      <c r="J1271" s="3"/>
    </row>
    <row r="1272" spans="4:10" s="22" customFormat="1" x14ac:dyDescent="0.35">
      <c r="D1272" s="3"/>
      <c r="E1272" s="3"/>
      <c r="F1272" s="3"/>
      <c r="G1272" s="3"/>
      <c r="H1272" s="3"/>
      <c r="I1272" s="3"/>
      <c r="J1272" s="3"/>
    </row>
    <row r="1273" spans="4:10" s="22" customFormat="1" x14ac:dyDescent="0.35">
      <c r="D1273" s="3"/>
      <c r="E1273" s="3"/>
      <c r="F1273" s="3"/>
      <c r="G1273" s="3"/>
      <c r="H1273" s="3"/>
      <c r="I1273" s="3"/>
      <c r="J1273" s="3"/>
    </row>
    <row r="1274" spans="4:10" s="22" customFormat="1" x14ac:dyDescent="0.35">
      <c r="D1274" s="3"/>
      <c r="E1274" s="3"/>
      <c r="F1274" s="3"/>
      <c r="G1274" s="3"/>
      <c r="H1274" s="3"/>
      <c r="I1274" s="3"/>
      <c r="J1274" s="3"/>
    </row>
    <row r="1275" spans="4:10" s="22" customFormat="1" x14ac:dyDescent="0.35">
      <c r="D1275" s="3"/>
      <c r="E1275" s="3"/>
      <c r="F1275" s="3"/>
      <c r="G1275" s="3"/>
      <c r="H1275" s="3"/>
      <c r="I1275" s="3"/>
      <c r="J1275" s="3"/>
    </row>
    <row r="1276" spans="4:10" s="22" customFormat="1" x14ac:dyDescent="0.35">
      <c r="D1276" s="3"/>
      <c r="E1276" s="3"/>
      <c r="F1276" s="3"/>
      <c r="G1276" s="3"/>
      <c r="H1276" s="3"/>
      <c r="I1276" s="3"/>
      <c r="J1276" s="3"/>
    </row>
    <row r="1277" spans="4:10" s="22" customFormat="1" x14ac:dyDescent="0.35">
      <c r="D1277" s="3"/>
      <c r="E1277" s="3"/>
      <c r="F1277" s="3"/>
      <c r="G1277" s="3"/>
      <c r="H1277" s="3"/>
      <c r="I1277" s="3"/>
      <c r="J1277" s="3"/>
    </row>
    <row r="1278" spans="4:10" s="22" customFormat="1" x14ac:dyDescent="0.35">
      <c r="D1278" s="3"/>
      <c r="E1278" s="3"/>
      <c r="F1278" s="3"/>
      <c r="G1278" s="3"/>
      <c r="H1278" s="3"/>
      <c r="I1278" s="3"/>
      <c r="J1278" s="3"/>
    </row>
    <row r="1279" spans="4:10" s="22" customFormat="1" x14ac:dyDescent="0.35">
      <c r="D1279" s="3" t="s">
        <v>275</v>
      </c>
      <c r="E1279" s="3"/>
      <c r="F1279" s="3"/>
      <c r="G1279" s="3"/>
      <c r="H1279" s="3"/>
      <c r="I1279" s="3"/>
      <c r="J1279" s="3"/>
    </row>
    <row r="1280" spans="4:10" s="22" customFormat="1" x14ac:dyDescent="0.35">
      <c r="D1280" s="3" t="s">
        <v>276</v>
      </c>
      <c r="E1280" s="3"/>
      <c r="F1280" s="3"/>
      <c r="G1280" s="3"/>
      <c r="H1280" s="3"/>
      <c r="I1280" s="3"/>
      <c r="J1280" s="3"/>
    </row>
    <row r="1281" spans="4:10" s="22" customFormat="1" x14ac:dyDescent="0.35">
      <c r="D1281" s="3" t="s">
        <v>277</v>
      </c>
      <c r="E1281" s="3"/>
      <c r="F1281" s="3"/>
      <c r="G1281" s="3"/>
      <c r="H1281" s="3"/>
      <c r="I1281" s="3"/>
      <c r="J1281" s="3"/>
    </row>
    <row r="1282" spans="4:10" s="22" customFormat="1" x14ac:dyDescent="0.35">
      <c r="D1282" s="3"/>
      <c r="E1282" s="3"/>
      <c r="F1282" s="3"/>
      <c r="G1282" s="3"/>
      <c r="H1282" s="3"/>
      <c r="I1282" s="3"/>
      <c r="J1282" s="3"/>
    </row>
    <row r="1283" spans="4:10" s="22" customFormat="1" x14ac:dyDescent="0.35">
      <c r="D1283" s="3" t="s">
        <v>278</v>
      </c>
      <c r="E1283" s="3"/>
      <c r="F1283" s="3"/>
      <c r="G1283" s="3"/>
      <c r="H1283" s="3"/>
      <c r="I1283" s="3"/>
      <c r="J1283" s="3"/>
    </row>
    <row r="1284" spans="4:10" s="22" customFormat="1" x14ac:dyDescent="0.35">
      <c r="D1284" s="3"/>
      <c r="E1284" s="3"/>
      <c r="F1284" s="3"/>
      <c r="G1284" s="3"/>
      <c r="H1284" s="3"/>
      <c r="I1284" s="3"/>
      <c r="J1284" s="3"/>
    </row>
    <row r="1285" spans="4:10" s="22" customFormat="1" x14ac:dyDescent="0.35">
      <c r="D1285" s="3" t="s">
        <v>569</v>
      </c>
      <c r="E1285" s="3"/>
      <c r="F1285" s="3"/>
      <c r="G1285" s="3"/>
      <c r="H1285" s="3"/>
      <c r="I1285" s="3"/>
      <c r="J1285" s="3"/>
    </row>
    <row r="1286" spans="4:10" s="22" customFormat="1" x14ac:dyDescent="0.35">
      <c r="D1286" s="3"/>
      <c r="E1286" s="3"/>
      <c r="F1286" s="3"/>
      <c r="G1286" s="3"/>
      <c r="H1286" s="3"/>
      <c r="I1286" s="3"/>
      <c r="J1286" s="3"/>
    </row>
    <row r="1287" spans="4:10" s="22" customFormat="1" x14ac:dyDescent="0.35">
      <c r="D1287" s="3" t="s">
        <v>570</v>
      </c>
      <c r="E1287" s="3"/>
      <c r="F1287" s="3"/>
      <c r="G1287" s="3"/>
      <c r="H1287" s="3"/>
      <c r="I1287" s="3"/>
      <c r="J1287" s="3"/>
    </row>
    <row r="1288" spans="4:10" s="22" customFormat="1" x14ac:dyDescent="0.35">
      <c r="D1288" s="3"/>
      <c r="E1288" s="3"/>
      <c r="F1288" s="3"/>
      <c r="G1288" s="3"/>
      <c r="H1288" s="3"/>
      <c r="I1288" s="3"/>
      <c r="J1288" s="3"/>
    </row>
    <row r="1289" spans="4:10" s="22" customFormat="1" x14ac:dyDescent="0.35">
      <c r="D1289" s="3" t="s">
        <v>279</v>
      </c>
      <c r="E1289" s="3"/>
      <c r="F1289" s="3"/>
      <c r="G1289" s="3"/>
      <c r="H1289" s="3"/>
      <c r="I1289" s="3"/>
      <c r="J1289" s="3"/>
    </row>
    <row r="1290" spans="4:10" s="22" customFormat="1" x14ac:dyDescent="0.35">
      <c r="D1290" s="3"/>
      <c r="E1290" s="3"/>
      <c r="F1290" s="3"/>
      <c r="G1290" s="3"/>
      <c r="H1290" s="3"/>
      <c r="I1290" s="3"/>
      <c r="J1290" s="3"/>
    </row>
    <row r="1291" spans="4:10" s="22" customFormat="1" x14ac:dyDescent="0.35">
      <c r="D1291" s="3" t="s">
        <v>280</v>
      </c>
      <c r="E1291" s="3"/>
      <c r="F1291" s="3"/>
      <c r="G1291" s="3"/>
      <c r="H1291" s="3"/>
      <c r="I1291" s="3"/>
      <c r="J1291" s="3"/>
    </row>
    <row r="1292" spans="4:10" s="22" customFormat="1" x14ac:dyDescent="0.35">
      <c r="D1292" s="3"/>
      <c r="E1292" s="3"/>
      <c r="F1292" s="3"/>
      <c r="G1292" s="3"/>
      <c r="H1292" s="3"/>
      <c r="I1292" s="3"/>
      <c r="J1292" s="3"/>
    </row>
    <row r="1293" spans="4:10" s="22" customFormat="1" x14ac:dyDescent="0.35">
      <c r="D1293" s="81" t="s">
        <v>281</v>
      </c>
      <c r="E1293" s="3"/>
      <c r="F1293" s="3"/>
      <c r="G1293" s="3"/>
      <c r="H1293" s="3"/>
      <c r="I1293" s="3"/>
      <c r="J1293" s="3"/>
    </row>
    <row r="1294" spans="4:10" s="22" customFormat="1" x14ac:dyDescent="0.35">
      <c r="D1294" s="3"/>
      <c r="E1294" s="3"/>
      <c r="F1294" s="3"/>
      <c r="G1294" s="3"/>
      <c r="H1294" s="3"/>
      <c r="I1294" s="3"/>
      <c r="J1294" s="3"/>
    </row>
    <row r="1295" spans="4:10" s="22" customFormat="1" x14ac:dyDescent="0.35">
      <c r="D1295" s="3" t="s">
        <v>282</v>
      </c>
      <c r="E1295" s="3"/>
      <c r="F1295" s="3"/>
      <c r="G1295" s="3"/>
      <c r="H1295" s="3"/>
      <c r="I1295" s="3"/>
      <c r="J1295" s="3"/>
    </row>
    <row r="1296" spans="4:10" s="22" customFormat="1" x14ac:dyDescent="0.35">
      <c r="D1296" s="82"/>
      <c r="E1296" s="3"/>
      <c r="F1296" s="3"/>
      <c r="G1296" s="3"/>
      <c r="H1296" s="3"/>
      <c r="I1296" s="3"/>
      <c r="J1296" s="3"/>
    </row>
    <row r="1297" spans="4:10" s="22" customFormat="1" x14ac:dyDescent="0.35">
      <c r="D1297" s="82" t="s">
        <v>283</v>
      </c>
      <c r="E1297" s="3"/>
      <c r="F1297" s="3"/>
      <c r="G1297" s="3"/>
      <c r="H1297" s="3"/>
      <c r="I1297" s="3"/>
      <c r="J1297" s="3"/>
    </row>
    <row r="1298" spans="4:10" s="22" customFormat="1" x14ac:dyDescent="0.35">
      <c r="D1298" s="82" t="s">
        <v>284</v>
      </c>
      <c r="E1298" s="3"/>
      <c r="F1298" s="3"/>
      <c r="G1298" s="3"/>
      <c r="H1298" s="3"/>
      <c r="I1298" s="3"/>
      <c r="J1298" s="3"/>
    </row>
    <row r="1299" spans="4:10" s="22" customFormat="1" x14ac:dyDescent="0.35">
      <c r="D1299" s="82" t="s">
        <v>285</v>
      </c>
      <c r="E1299" s="3"/>
      <c r="F1299" s="3"/>
      <c r="G1299" s="3"/>
      <c r="H1299" s="3"/>
      <c r="I1299" s="3"/>
      <c r="J1299" s="3"/>
    </row>
    <row r="1300" spans="4:10" s="22" customFormat="1" x14ac:dyDescent="0.35">
      <c r="D1300" s="82" t="s">
        <v>286</v>
      </c>
      <c r="E1300" s="3"/>
      <c r="F1300" s="3"/>
      <c r="G1300" s="3"/>
      <c r="H1300" s="3"/>
      <c r="I1300" s="3"/>
      <c r="J1300" s="3"/>
    </row>
    <row r="1301" spans="4:10" s="22" customFormat="1" x14ac:dyDescent="0.35">
      <c r="D1301" s="3"/>
      <c r="E1301" s="3"/>
      <c r="F1301" s="3"/>
      <c r="G1301" s="3"/>
      <c r="H1301" s="3"/>
      <c r="I1301" s="3"/>
      <c r="J1301" s="3"/>
    </row>
    <row r="1302" spans="4:10" s="22" customFormat="1" x14ac:dyDescent="0.35">
      <c r="D1302" s="3" t="s">
        <v>287</v>
      </c>
      <c r="E1302" s="3"/>
      <c r="F1302" s="3"/>
      <c r="G1302" s="3"/>
      <c r="H1302" s="3"/>
      <c r="I1302" s="3"/>
      <c r="J1302" s="3"/>
    </row>
    <row r="1303" spans="4:10" s="22" customFormat="1" x14ac:dyDescent="0.35">
      <c r="D1303" s="3"/>
      <c r="E1303" s="3"/>
      <c r="F1303" s="3"/>
      <c r="G1303" s="3"/>
      <c r="H1303" s="3"/>
      <c r="I1303" s="3"/>
      <c r="J1303" s="3"/>
    </row>
    <row r="1304" spans="4:10" s="22" customFormat="1" x14ac:dyDescent="0.35">
      <c r="D1304" s="3" t="s">
        <v>288</v>
      </c>
      <c r="E1304" s="3"/>
      <c r="F1304" s="3"/>
      <c r="G1304" s="3"/>
      <c r="H1304" s="3"/>
      <c r="I1304" s="3"/>
      <c r="J1304" s="3"/>
    </row>
    <row r="1305" spans="4:10" s="22" customFormat="1" x14ac:dyDescent="0.35">
      <c r="D1305" s="82"/>
      <c r="E1305" s="3"/>
      <c r="F1305" s="3"/>
      <c r="G1305" s="3"/>
      <c r="H1305" s="3"/>
      <c r="I1305" s="3"/>
      <c r="J1305" s="3"/>
    </row>
    <row r="1306" spans="4:10" s="22" customFormat="1" x14ac:dyDescent="0.35">
      <c r="D1306" s="82" t="s">
        <v>289</v>
      </c>
      <c r="E1306" s="3"/>
      <c r="F1306" s="3"/>
      <c r="G1306" s="3"/>
      <c r="H1306" s="3"/>
      <c r="I1306" s="3"/>
      <c r="J1306" s="3"/>
    </row>
    <row r="1307" spans="4:10" s="22" customFormat="1" x14ac:dyDescent="0.35">
      <c r="D1307" s="82" t="s">
        <v>571</v>
      </c>
      <c r="E1307" s="3"/>
      <c r="F1307" s="3"/>
      <c r="G1307" s="3"/>
      <c r="H1307" s="3"/>
      <c r="I1307" s="3"/>
      <c r="J1307" s="3"/>
    </row>
    <row r="1308" spans="4:10" s="22" customFormat="1" x14ac:dyDescent="0.35">
      <c r="D1308" s="3"/>
      <c r="E1308" s="3"/>
      <c r="F1308" s="3"/>
      <c r="G1308" s="3"/>
      <c r="H1308" s="3"/>
      <c r="I1308" s="3"/>
      <c r="J1308" s="3"/>
    </row>
    <row r="1309" spans="4:10" s="22" customFormat="1" x14ac:dyDescent="0.35">
      <c r="D1309" s="3" t="s">
        <v>290</v>
      </c>
      <c r="E1309" s="3"/>
      <c r="F1309" s="3"/>
      <c r="G1309" s="3"/>
      <c r="H1309" s="3"/>
      <c r="I1309" s="3"/>
      <c r="J1309" s="3"/>
    </row>
    <row r="1310" spans="4:10" s="22" customFormat="1" x14ac:dyDescent="0.35">
      <c r="D1310" s="3"/>
      <c r="E1310" s="3"/>
      <c r="F1310" s="3"/>
      <c r="G1310" s="3"/>
      <c r="H1310" s="3"/>
      <c r="I1310" s="3"/>
      <c r="J1310" s="3"/>
    </row>
    <row r="1311" spans="4:10" s="22" customFormat="1" x14ac:dyDescent="0.35">
      <c r="D1311" s="3"/>
      <c r="E1311" s="3"/>
      <c r="F1311" s="3"/>
      <c r="G1311" s="3"/>
      <c r="H1311" s="3"/>
      <c r="I1311" s="3"/>
      <c r="J1311" s="3"/>
    </row>
    <row r="1312" spans="4:10" s="22" customFormat="1" x14ac:dyDescent="0.35">
      <c r="D1312" s="3"/>
      <c r="E1312" s="3"/>
      <c r="F1312" s="3"/>
      <c r="G1312" s="3"/>
      <c r="H1312" s="3"/>
      <c r="I1312" s="3"/>
      <c r="J1312" s="3"/>
    </row>
    <row r="1313" spans="4:10" s="22" customFormat="1" x14ac:dyDescent="0.35">
      <c r="D1313" s="3" t="s">
        <v>572</v>
      </c>
      <c r="E1313" s="3"/>
      <c r="F1313" s="3"/>
      <c r="G1313" s="3"/>
      <c r="H1313" s="3"/>
      <c r="I1313" s="3"/>
      <c r="J1313" s="3"/>
    </row>
    <row r="1314" spans="4:10" s="22" customFormat="1" x14ac:dyDescent="0.35">
      <c r="D1314" s="3"/>
      <c r="E1314" s="3"/>
      <c r="F1314" s="3"/>
      <c r="G1314" s="3"/>
      <c r="H1314" s="3"/>
      <c r="I1314" s="3"/>
      <c r="J1314" s="3"/>
    </row>
    <row r="1315" spans="4:10" s="22" customFormat="1" x14ac:dyDescent="0.35">
      <c r="D1315" s="3" t="s">
        <v>573</v>
      </c>
      <c r="E1315" s="3"/>
      <c r="F1315" s="3"/>
      <c r="G1315" s="3"/>
      <c r="H1315" s="3"/>
      <c r="I1315" s="3"/>
      <c r="J1315" s="3"/>
    </row>
    <row r="1316" spans="4:10" s="22" customFormat="1" x14ac:dyDescent="0.35">
      <c r="D1316" s="3"/>
      <c r="E1316" s="3"/>
      <c r="F1316" s="3"/>
      <c r="G1316" s="3"/>
      <c r="H1316" s="3"/>
      <c r="I1316" s="3"/>
      <c r="J1316" s="3"/>
    </row>
    <row r="1317" spans="4:10" s="22" customFormat="1" x14ac:dyDescent="0.35">
      <c r="D1317" s="3" t="s">
        <v>291</v>
      </c>
      <c r="E1317" s="3"/>
      <c r="F1317" s="3"/>
      <c r="G1317" s="3"/>
      <c r="H1317" s="3"/>
      <c r="I1317" s="3"/>
      <c r="J1317" s="3"/>
    </row>
    <row r="1318" spans="4:10" s="22" customFormat="1" x14ac:dyDescent="0.35">
      <c r="D1318" s="3"/>
      <c r="E1318" s="3"/>
      <c r="F1318" s="3"/>
      <c r="G1318" s="3"/>
      <c r="H1318" s="3"/>
      <c r="I1318" s="3"/>
      <c r="J1318" s="3"/>
    </row>
    <row r="1319" spans="4:10" s="22" customFormat="1" x14ac:dyDescent="0.35">
      <c r="D1319" s="3" t="s">
        <v>292</v>
      </c>
      <c r="E1319" s="3"/>
      <c r="F1319" s="3"/>
      <c r="G1319" s="3"/>
      <c r="H1319" s="3"/>
      <c r="I1319" s="3"/>
      <c r="J1319" s="3"/>
    </row>
    <row r="1320" spans="4:10" s="22" customFormat="1" x14ac:dyDescent="0.35">
      <c r="D1320" s="3"/>
      <c r="E1320" s="3"/>
      <c r="F1320" s="3"/>
      <c r="G1320" s="3"/>
      <c r="H1320" s="3"/>
      <c r="I1320" s="3"/>
      <c r="J1320" s="3"/>
    </row>
    <row r="1321" spans="4:10" s="22" customFormat="1" x14ac:dyDescent="0.35">
      <c r="D1321" s="3" t="s">
        <v>293</v>
      </c>
      <c r="E1321" s="3"/>
      <c r="F1321" s="3"/>
      <c r="G1321" s="3"/>
      <c r="H1321" s="3"/>
      <c r="I1321" s="3"/>
      <c r="J1321" s="3"/>
    </row>
    <row r="1322" spans="4:10" s="22" customFormat="1" x14ac:dyDescent="0.35">
      <c r="D1322" s="3"/>
      <c r="E1322" s="3"/>
      <c r="F1322" s="3"/>
      <c r="G1322" s="3"/>
      <c r="H1322" s="3"/>
      <c r="I1322" s="3"/>
      <c r="J1322" s="3"/>
    </row>
    <row r="1323" spans="4:10" s="22" customFormat="1" x14ac:dyDescent="0.35">
      <c r="D1323" s="3" t="s">
        <v>574</v>
      </c>
      <c r="E1323" s="3"/>
      <c r="F1323" s="3"/>
      <c r="G1323" s="3"/>
      <c r="H1323" s="3"/>
      <c r="I1323" s="3"/>
      <c r="J1323" s="3"/>
    </row>
    <row r="1324" spans="4:10" s="22" customFormat="1" x14ac:dyDescent="0.35">
      <c r="D1324" s="3"/>
      <c r="E1324" s="3"/>
      <c r="F1324" s="3"/>
      <c r="G1324" s="3"/>
      <c r="H1324" s="3"/>
      <c r="I1324" s="3"/>
      <c r="J1324" s="3"/>
    </row>
    <row r="1325" spans="4:10" s="22" customFormat="1" x14ac:dyDescent="0.35">
      <c r="D1325" s="3" t="s">
        <v>294</v>
      </c>
      <c r="E1325" s="3"/>
      <c r="F1325" s="3"/>
      <c r="G1325" s="3"/>
      <c r="H1325" s="3"/>
      <c r="I1325" s="3"/>
      <c r="J1325" s="3"/>
    </row>
    <row r="1326" spans="4:10" s="22" customFormat="1" x14ac:dyDescent="0.35">
      <c r="D1326" s="3"/>
      <c r="E1326" s="3"/>
      <c r="F1326" s="3"/>
      <c r="G1326" s="3"/>
      <c r="H1326" s="3"/>
      <c r="I1326" s="3"/>
      <c r="J1326" s="3"/>
    </row>
    <row r="1327" spans="4:10" s="22" customFormat="1" x14ac:dyDescent="0.35">
      <c r="D1327" s="3"/>
      <c r="E1327" s="3"/>
      <c r="F1327" s="3"/>
      <c r="G1327" s="3"/>
      <c r="H1327" s="3"/>
      <c r="I1327" s="3"/>
      <c r="J1327" s="3"/>
    </row>
    <row r="1328" spans="4:10" s="22" customFormat="1" x14ac:dyDescent="0.35">
      <c r="D1328" s="3"/>
      <c r="E1328" s="3"/>
      <c r="F1328" s="3"/>
      <c r="G1328" s="3"/>
      <c r="H1328" s="3"/>
      <c r="I1328" s="3"/>
      <c r="J1328" s="3"/>
    </row>
    <row r="1329" spans="4:10" s="22" customFormat="1" x14ac:dyDescent="0.35">
      <c r="D1329" s="3"/>
      <c r="E1329" s="3"/>
      <c r="F1329" s="3"/>
      <c r="G1329" s="3"/>
      <c r="H1329" s="3"/>
      <c r="I1329" s="3"/>
      <c r="J1329" s="3"/>
    </row>
    <row r="1330" spans="4:10" s="22" customFormat="1" x14ac:dyDescent="0.35">
      <c r="D1330" s="3"/>
      <c r="E1330" s="3"/>
      <c r="F1330" s="3"/>
      <c r="G1330" s="3"/>
      <c r="H1330" s="3"/>
      <c r="I1330" s="3"/>
      <c r="J1330" s="3"/>
    </row>
    <row r="1331" spans="4:10" s="22" customFormat="1" x14ac:dyDescent="0.35">
      <c r="D1331" s="3"/>
      <c r="E1331" s="3"/>
      <c r="F1331" s="3"/>
      <c r="G1331" s="3"/>
      <c r="H1331" s="3"/>
      <c r="I1331" s="3"/>
      <c r="J1331" s="3"/>
    </row>
    <row r="1332" spans="4:10" s="22" customFormat="1" x14ac:dyDescent="0.35">
      <c r="D1332" s="3"/>
      <c r="E1332" s="3"/>
      <c r="F1332" s="3"/>
      <c r="G1332" s="3"/>
      <c r="H1332" s="3"/>
      <c r="I1332" s="3"/>
      <c r="J1332" s="3"/>
    </row>
    <row r="1333" spans="4:10" s="22" customFormat="1" x14ac:dyDescent="0.35">
      <c r="D1333" s="3"/>
      <c r="E1333" s="3"/>
      <c r="F1333" s="3"/>
      <c r="G1333" s="3"/>
      <c r="H1333" s="3"/>
      <c r="I1333" s="3"/>
      <c r="J1333" s="3"/>
    </row>
    <row r="1334" spans="4:10" s="22" customFormat="1" x14ac:dyDescent="0.35">
      <c r="D1334" s="3"/>
      <c r="E1334" s="3"/>
      <c r="F1334" s="3"/>
      <c r="G1334" s="3"/>
      <c r="H1334" s="3"/>
      <c r="I1334" s="3"/>
      <c r="J1334" s="3"/>
    </row>
    <row r="1335" spans="4:10" s="22" customFormat="1" x14ac:dyDescent="0.35">
      <c r="D1335" s="3"/>
      <c r="E1335" s="3"/>
      <c r="F1335" s="3"/>
      <c r="G1335" s="3"/>
      <c r="H1335" s="3"/>
      <c r="I1335" s="3"/>
      <c r="J1335" s="3"/>
    </row>
    <row r="1336" spans="4:10" s="22" customFormat="1" x14ac:dyDescent="0.35">
      <c r="D1336" s="3"/>
      <c r="E1336" s="3"/>
      <c r="F1336" s="3"/>
      <c r="G1336" s="3"/>
      <c r="H1336" s="3"/>
      <c r="I1336" s="3"/>
      <c r="J1336" s="3"/>
    </row>
    <row r="1337" spans="4:10" s="22" customFormat="1" x14ac:dyDescent="0.35">
      <c r="D1337" s="3"/>
      <c r="E1337" s="3"/>
      <c r="F1337" s="3"/>
      <c r="G1337" s="3"/>
      <c r="H1337" s="3"/>
      <c r="I1337" s="3"/>
      <c r="J1337" s="3"/>
    </row>
    <row r="1338" spans="4:10" s="22" customFormat="1" x14ac:dyDescent="0.35">
      <c r="D1338" s="3"/>
      <c r="E1338" s="3"/>
      <c r="F1338" s="3"/>
      <c r="G1338" s="3"/>
      <c r="H1338" s="3"/>
      <c r="I1338" s="3"/>
      <c r="J1338" s="3"/>
    </row>
    <row r="1339" spans="4:10" s="22" customFormat="1" x14ac:dyDescent="0.35">
      <c r="D1339" s="3"/>
      <c r="E1339" s="3"/>
      <c r="F1339" s="3"/>
      <c r="G1339" s="3"/>
      <c r="H1339" s="3"/>
      <c r="I1339" s="3"/>
      <c r="J1339" s="3"/>
    </row>
    <row r="1340" spans="4:10" s="22" customFormat="1" x14ac:dyDescent="0.35">
      <c r="D1340" s="3"/>
      <c r="E1340" s="3"/>
      <c r="F1340" s="3"/>
      <c r="G1340" s="3"/>
      <c r="H1340" s="3"/>
      <c r="I1340" s="3"/>
      <c r="J1340" s="3"/>
    </row>
    <row r="1341" spans="4:10" s="22" customFormat="1" x14ac:dyDescent="0.35">
      <c r="D1341" s="3"/>
      <c r="E1341" s="3"/>
      <c r="F1341" s="3"/>
      <c r="G1341" s="3"/>
      <c r="H1341" s="3"/>
      <c r="I1341" s="3"/>
      <c r="J1341" s="3"/>
    </row>
    <row r="1342" spans="4:10" s="22" customFormat="1" x14ac:dyDescent="0.35">
      <c r="D1342" s="3" t="s">
        <v>295</v>
      </c>
      <c r="E1342" s="3"/>
      <c r="F1342" s="3"/>
      <c r="G1342" s="3"/>
      <c r="H1342" s="3"/>
      <c r="I1342" s="3"/>
      <c r="J1342" s="3"/>
    </row>
    <row r="1343" spans="4:10" s="22" customFormat="1" x14ac:dyDescent="0.35">
      <c r="D1343" s="3" t="s">
        <v>276</v>
      </c>
      <c r="E1343" s="3"/>
      <c r="F1343" s="3"/>
      <c r="G1343" s="3"/>
      <c r="H1343" s="3"/>
      <c r="I1343" s="3"/>
      <c r="J1343" s="3"/>
    </row>
    <row r="1344" spans="4:10" s="22" customFormat="1" x14ac:dyDescent="0.35">
      <c r="D1344" s="3" t="s">
        <v>296</v>
      </c>
      <c r="E1344" s="3"/>
      <c r="F1344" s="3"/>
      <c r="G1344" s="3"/>
      <c r="H1344" s="3"/>
      <c r="I1344" s="3"/>
      <c r="J1344" s="3"/>
    </row>
    <row r="1345" spans="4:10" s="22" customFormat="1" x14ac:dyDescent="0.35">
      <c r="D1345" s="3"/>
      <c r="E1345" s="3"/>
      <c r="F1345" s="3"/>
      <c r="G1345" s="3"/>
      <c r="H1345" s="3"/>
      <c r="I1345" s="3"/>
      <c r="J1345" s="3"/>
    </row>
    <row r="1346" spans="4:10" s="22" customFormat="1" x14ac:dyDescent="0.35">
      <c r="D1346" s="3" t="s">
        <v>297</v>
      </c>
      <c r="E1346" s="3"/>
      <c r="F1346" s="3"/>
      <c r="G1346" s="3"/>
      <c r="H1346" s="3"/>
      <c r="I1346" s="3"/>
      <c r="J1346" s="3"/>
    </row>
    <row r="1347" spans="4:10" s="22" customFormat="1" x14ac:dyDescent="0.35">
      <c r="D1347" s="3"/>
      <c r="E1347" s="3"/>
      <c r="F1347" s="3"/>
      <c r="G1347" s="3"/>
      <c r="H1347" s="3"/>
      <c r="I1347" s="3"/>
      <c r="J1347" s="3"/>
    </row>
    <row r="1348" spans="4:10" s="22" customFormat="1" x14ac:dyDescent="0.35">
      <c r="D1348" s="3" t="s">
        <v>298</v>
      </c>
      <c r="E1348" s="3"/>
      <c r="F1348" s="3"/>
      <c r="G1348" s="3"/>
      <c r="H1348" s="3"/>
      <c r="I1348" s="3"/>
      <c r="J1348" s="3"/>
    </row>
    <row r="1349" spans="4:10" s="22" customFormat="1" x14ac:dyDescent="0.35">
      <c r="D1349" s="3"/>
      <c r="E1349" s="3"/>
      <c r="F1349" s="3"/>
      <c r="G1349" s="3"/>
      <c r="H1349" s="3"/>
      <c r="I1349" s="3"/>
      <c r="J1349" s="3"/>
    </row>
    <row r="1350" spans="4:10" s="22" customFormat="1" ht="22.5" x14ac:dyDescent="0.35">
      <c r="D1350" s="83" t="s">
        <v>299</v>
      </c>
      <c r="E1350" s="3"/>
      <c r="F1350" s="3"/>
      <c r="G1350" s="3"/>
      <c r="H1350" s="3"/>
      <c r="I1350" s="3"/>
      <c r="J1350" s="3"/>
    </row>
    <row r="1351" spans="4:10" s="22" customFormat="1" x14ac:dyDescent="0.35">
      <c r="D1351" s="3"/>
      <c r="E1351" s="3"/>
      <c r="F1351" s="3"/>
      <c r="G1351" s="3"/>
      <c r="H1351" s="3"/>
      <c r="I1351" s="3"/>
      <c r="J1351" s="3"/>
    </row>
    <row r="1352" spans="4:10" s="22" customFormat="1" x14ac:dyDescent="0.35">
      <c r="D1352" s="81" t="s">
        <v>300</v>
      </c>
      <c r="E1352" s="3"/>
      <c r="F1352" s="3"/>
      <c r="G1352" s="3"/>
      <c r="H1352" s="3"/>
      <c r="I1352" s="3"/>
      <c r="J1352" s="3"/>
    </row>
    <row r="1353" spans="4:10" s="22" customFormat="1" x14ac:dyDescent="0.35">
      <c r="D1353" s="3"/>
      <c r="E1353" s="3"/>
      <c r="F1353" s="3"/>
      <c r="G1353" s="3"/>
      <c r="H1353" s="3"/>
      <c r="I1353" s="3"/>
      <c r="J1353" s="3"/>
    </row>
    <row r="1354" spans="4:10" s="22" customFormat="1" x14ac:dyDescent="0.35">
      <c r="D1354" s="3" t="s">
        <v>301</v>
      </c>
      <c r="E1354" s="3"/>
      <c r="F1354" s="3"/>
      <c r="G1354" s="3"/>
      <c r="H1354" s="3"/>
      <c r="I1354" s="3"/>
      <c r="J1354" s="3"/>
    </row>
    <row r="1355" spans="4:10" s="22" customFormat="1" x14ac:dyDescent="0.35">
      <c r="D1355" s="3"/>
      <c r="E1355" s="3"/>
      <c r="F1355" s="3"/>
      <c r="G1355" s="3"/>
      <c r="H1355" s="3"/>
      <c r="I1355" s="3"/>
      <c r="J1355" s="3"/>
    </row>
    <row r="1356" spans="4:10" s="22" customFormat="1" x14ac:dyDescent="0.35">
      <c r="D1356" s="3" t="s">
        <v>302</v>
      </c>
      <c r="E1356" s="3"/>
      <c r="F1356" s="3"/>
      <c r="G1356" s="3"/>
      <c r="H1356" s="3"/>
      <c r="I1356" s="3"/>
      <c r="J1356" s="3"/>
    </row>
    <row r="1357" spans="4:10" s="22" customFormat="1" x14ac:dyDescent="0.35">
      <c r="D1357" s="3"/>
      <c r="E1357" s="3"/>
      <c r="F1357" s="3"/>
      <c r="G1357" s="3"/>
      <c r="H1357" s="3"/>
      <c r="I1357" s="3"/>
      <c r="J1357" s="3"/>
    </row>
    <row r="1358" spans="4:10" s="22" customFormat="1" x14ac:dyDescent="0.35">
      <c r="D1358" s="3" t="s">
        <v>575</v>
      </c>
      <c r="E1358" s="3"/>
      <c r="F1358" s="3"/>
      <c r="G1358" s="3"/>
      <c r="H1358" s="3"/>
      <c r="I1358" s="3"/>
      <c r="J1358" s="3"/>
    </row>
    <row r="1359" spans="4:10" s="22" customFormat="1" x14ac:dyDescent="0.35">
      <c r="D1359" s="3"/>
      <c r="E1359" s="3"/>
      <c r="F1359" s="3"/>
      <c r="G1359" s="3"/>
      <c r="H1359" s="3"/>
      <c r="I1359" s="3"/>
      <c r="J1359" s="3"/>
    </row>
    <row r="1360" spans="4:10" s="22" customFormat="1" x14ac:dyDescent="0.35">
      <c r="D1360" s="3" t="s">
        <v>576</v>
      </c>
      <c r="E1360" s="3"/>
      <c r="F1360" s="3"/>
      <c r="G1360" s="3"/>
      <c r="H1360" s="3"/>
      <c r="I1360" s="3"/>
      <c r="J1360" s="3"/>
    </row>
    <row r="1361" spans="4:10" s="22" customFormat="1" x14ac:dyDescent="0.35">
      <c r="D1361" s="82"/>
      <c r="E1361" s="3"/>
      <c r="F1361" s="3"/>
      <c r="G1361" s="3"/>
      <c r="H1361" s="3"/>
      <c r="I1361" s="3"/>
      <c r="J1361" s="3"/>
    </row>
    <row r="1362" spans="4:10" s="22" customFormat="1" x14ac:dyDescent="0.35">
      <c r="D1362" s="82" t="s">
        <v>303</v>
      </c>
      <c r="E1362" s="3"/>
      <c r="F1362" s="3"/>
      <c r="G1362" s="3"/>
      <c r="H1362" s="3"/>
      <c r="I1362" s="3"/>
      <c r="J1362" s="3"/>
    </row>
    <row r="1363" spans="4:10" s="22" customFormat="1" x14ac:dyDescent="0.35">
      <c r="D1363" s="82" t="s">
        <v>304</v>
      </c>
      <c r="E1363" s="3"/>
      <c r="F1363" s="3"/>
      <c r="G1363" s="3"/>
      <c r="H1363" s="3"/>
      <c r="I1363" s="3"/>
      <c r="J1363" s="3"/>
    </row>
    <row r="1364" spans="4:10" s="22" customFormat="1" x14ac:dyDescent="0.35">
      <c r="D1364" s="82" t="s">
        <v>305</v>
      </c>
      <c r="E1364" s="3"/>
      <c r="F1364" s="3"/>
      <c r="G1364" s="3"/>
      <c r="H1364" s="3"/>
      <c r="I1364" s="3"/>
      <c r="J1364" s="3"/>
    </row>
    <row r="1365" spans="4:10" s="22" customFormat="1" x14ac:dyDescent="0.35">
      <c r="D1365" s="82" t="s">
        <v>306</v>
      </c>
      <c r="E1365" s="3"/>
      <c r="F1365" s="3"/>
      <c r="G1365" s="3"/>
      <c r="H1365" s="3"/>
      <c r="I1365" s="3"/>
      <c r="J1365" s="3"/>
    </row>
    <row r="1366" spans="4:10" s="22" customFormat="1" x14ac:dyDescent="0.35">
      <c r="D1366" s="82" t="s">
        <v>307</v>
      </c>
      <c r="E1366" s="3"/>
      <c r="F1366" s="3"/>
      <c r="G1366" s="3"/>
      <c r="H1366" s="3"/>
      <c r="I1366" s="3"/>
      <c r="J1366" s="3"/>
    </row>
    <row r="1367" spans="4:10" s="22" customFormat="1" x14ac:dyDescent="0.35">
      <c r="D1367" s="82" t="s">
        <v>308</v>
      </c>
      <c r="E1367" s="3"/>
      <c r="F1367" s="3"/>
      <c r="G1367" s="3"/>
      <c r="H1367" s="3"/>
      <c r="I1367" s="3"/>
      <c r="J1367" s="3"/>
    </row>
    <row r="1368" spans="4:10" s="22" customFormat="1" x14ac:dyDescent="0.35">
      <c r="D1368" s="3"/>
      <c r="E1368" s="3"/>
      <c r="F1368" s="3"/>
      <c r="G1368" s="3"/>
      <c r="H1368" s="3"/>
      <c r="I1368" s="3"/>
      <c r="J1368" s="3"/>
    </row>
    <row r="1369" spans="4:10" s="22" customFormat="1" x14ac:dyDescent="0.35">
      <c r="D1369" s="3" t="s">
        <v>309</v>
      </c>
      <c r="E1369" s="3"/>
      <c r="F1369" s="3"/>
      <c r="G1369" s="3"/>
      <c r="H1369" s="3"/>
      <c r="I1369" s="3"/>
      <c r="J1369" s="3"/>
    </row>
    <row r="1370" spans="4:10" s="22" customFormat="1" x14ac:dyDescent="0.35">
      <c r="D1370" s="3"/>
      <c r="E1370" s="3"/>
      <c r="F1370" s="3"/>
      <c r="G1370" s="3"/>
      <c r="H1370" s="3"/>
      <c r="I1370" s="3"/>
      <c r="J1370" s="3"/>
    </row>
    <row r="1371" spans="4:10" s="22" customFormat="1" x14ac:dyDescent="0.35">
      <c r="D1371" s="3"/>
      <c r="E1371" s="3"/>
      <c r="F1371" s="3"/>
      <c r="G1371" s="3"/>
      <c r="H1371" s="3"/>
      <c r="I1371" s="3"/>
      <c r="J1371" s="3"/>
    </row>
    <row r="1372" spans="4:10" s="22" customFormat="1" x14ac:dyDescent="0.35">
      <c r="D1372" s="3"/>
      <c r="E1372" s="3"/>
      <c r="F1372" s="3"/>
      <c r="G1372" s="3"/>
      <c r="H1372" s="3"/>
      <c r="I1372" s="3"/>
      <c r="J1372" s="3"/>
    </row>
    <row r="1373" spans="4:10" s="22" customFormat="1" ht="30" x14ac:dyDescent="0.35">
      <c r="D1373" s="84" t="s">
        <v>310</v>
      </c>
      <c r="E1373" s="3"/>
      <c r="F1373" s="3"/>
      <c r="G1373" s="3"/>
      <c r="H1373" s="3"/>
      <c r="I1373" s="3"/>
      <c r="J1373" s="3"/>
    </row>
    <row r="1374" spans="4:10" s="22" customFormat="1" x14ac:dyDescent="0.35">
      <c r="D1374" s="3"/>
      <c r="E1374" s="3"/>
      <c r="F1374" s="3"/>
      <c r="G1374" s="3"/>
      <c r="H1374" s="3"/>
      <c r="I1374" s="3"/>
      <c r="J1374" s="3"/>
    </row>
    <row r="1375" spans="4:10" s="22" customFormat="1" ht="22.5" x14ac:dyDescent="0.35">
      <c r="D1375" s="83" t="s">
        <v>311</v>
      </c>
      <c r="E1375" s="3"/>
      <c r="F1375" s="3"/>
      <c r="G1375" s="3"/>
      <c r="H1375" s="3"/>
      <c r="I1375" s="3"/>
      <c r="J1375" s="3"/>
    </row>
    <row r="1376" spans="4:10" s="22" customFormat="1" x14ac:dyDescent="0.35">
      <c r="D1376" s="3"/>
      <c r="E1376" s="3"/>
      <c r="F1376" s="3"/>
      <c r="G1376" s="3"/>
      <c r="H1376" s="3"/>
      <c r="I1376" s="3"/>
      <c r="J1376" s="3"/>
    </row>
    <row r="1377" spans="4:10" s="22" customFormat="1" x14ac:dyDescent="0.35">
      <c r="D1377" s="3" t="s">
        <v>312</v>
      </c>
      <c r="E1377" s="3"/>
      <c r="F1377" s="3"/>
      <c r="G1377" s="3"/>
      <c r="H1377" s="3"/>
      <c r="I1377" s="3"/>
      <c r="J1377" s="3"/>
    </row>
    <row r="1378" spans="4:10" s="22" customFormat="1" x14ac:dyDescent="0.35">
      <c r="D1378" s="82"/>
      <c r="E1378" s="3"/>
      <c r="F1378" s="3"/>
      <c r="G1378" s="3"/>
      <c r="H1378" s="3"/>
      <c r="I1378" s="3"/>
      <c r="J1378" s="3"/>
    </row>
    <row r="1379" spans="4:10" s="22" customFormat="1" x14ac:dyDescent="0.35">
      <c r="D1379" s="82" t="s">
        <v>313</v>
      </c>
      <c r="E1379" s="3"/>
      <c r="F1379" s="3"/>
      <c r="G1379" s="3"/>
      <c r="H1379" s="3"/>
      <c r="I1379" s="3"/>
      <c r="J1379" s="3"/>
    </row>
    <row r="1380" spans="4:10" s="22" customFormat="1" x14ac:dyDescent="0.35">
      <c r="D1380" s="82" t="s">
        <v>314</v>
      </c>
      <c r="E1380" s="3"/>
      <c r="F1380" s="3"/>
      <c r="G1380" s="3"/>
      <c r="H1380" s="3"/>
      <c r="I1380" s="3"/>
      <c r="J1380" s="3"/>
    </row>
    <row r="1381" spans="4:10" s="22" customFormat="1" x14ac:dyDescent="0.35">
      <c r="D1381" s="82" t="s">
        <v>315</v>
      </c>
      <c r="E1381" s="3"/>
      <c r="F1381" s="3"/>
      <c r="G1381" s="3"/>
      <c r="H1381" s="3"/>
      <c r="I1381" s="3"/>
      <c r="J1381" s="3"/>
    </row>
    <row r="1382" spans="4:10" s="22" customFormat="1" x14ac:dyDescent="0.35">
      <c r="D1382" s="82" t="s">
        <v>316</v>
      </c>
      <c r="E1382" s="3"/>
      <c r="F1382" s="3"/>
      <c r="G1382" s="3"/>
      <c r="H1382" s="3"/>
      <c r="I1382" s="3"/>
      <c r="J1382" s="3"/>
    </row>
    <row r="1383" spans="4:10" s="22" customFormat="1" x14ac:dyDescent="0.35">
      <c r="D1383" s="82" t="s">
        <v>317</v>
      </c>
      <c r="E1383" s="3"/>
      <c r="F1383" s="3"/>
      <c r="G1383" s="3"/>
      <c r="H1383" s="3"/>
      <c r="I1383" s="3"/>
      <c r="J1383" s="3"/>
    </row>
    <row r="1384" spans="4:10" s="22" customFormat="1" x14ac:dyDescent="0.35">
      <c r="D1384" s="3"/>
      <c r="E1384" s="3"/>
      <c r="F1384" s="3"/>
      <c r="G1384" s="3"/>
      <c r="H1384" s="3"/>
      <c r="I1384" s="3"/>
      <c r="J1384" s="3"/>
    </row>
    <row r="1385" spans="4:10" s="22" customFormat="1" x14ac:dyDescent="0.35">
      <c r="D1385" s="3" t="s">
        <v>318</v>
      </c>
      <c r="E1385" s="3"/>
      <c r="F1385" s="3"/>
      <c r="G1385" s="3"/>
      <c r="H1385" s="3"/>
      <c r="I1385" s="3"/>
      <c r="J1385" s="3"/>
    </row>
    <row r="1386" spans="4:10" s="22" customFormat="1" x14ac:dyDescent="0.35">
      <c r="D1386" s="3"/>
      <c r="E1386" s="3"/>
      <c r="F1386" s="3"/>
      <c r="G1386" s="3"/>
      <c r="H1386" s="3"/>
      <c r="I1386" s="3"/>
      <c r="J1386" s="3"/>
    </row>
    <row r="1387" spans="4:10" s="22" customFormat="1" x14ac:dyDescent="0.35">
      <c r="D1387" s="3"/>
      <c r="E1387" s="3"/>
      <c r="F1387" s="3"/>
      <c r="G1387" s="3"/>
      <c r="H1387" s="3"/>
      <c r="I1387" s="3"/>
      <c r="J1387" s="3"/>
    </row>
    <row r="1388" spans="4:10" s="22" customFormat="1" x14ac:dyDescent="0.35">
      <c r="D1388" s="3"/>
      <c r="E1388" s="3"/>
      <c r="F1388" s="3"/>
      <c r="G1388" s="3"/>
      <c r="H1388" s="3"/>
      <c r="I1388" s="3"/>
      <c r="J1388" s="3"/>
    </row>
    <row r="1389" spans="4:10" s="22" customFormat="1" ht="22.5" x14ac:dyDescent="0.35">
      <c r="D1389" s="83" t="s">
        <v>319</v>
      </c>
      <c r="E1389" s="3"/>
      <c r="F1389" s="3"/>
      <c r="G1389" s="3"/>
      <c r="H1389" s="3"/>
      <c r="I1389" s="3"/>
      <c r="J1389" s="3"/>
    </row>
    <row r="1390" spans="4:10" s="22" customFormat="1" x14ac:dyDescent="0.35">
      <c r="D1390" s="3"/>
      <c r="E1390" s="3"/>
      <c r="F1390" s="3"/>
      <c r="G1390" s="3"/>
      <c r="H1390" s="3"/>
      <c r="I1390" s="3"/>
      <c r="J1390" s="3"/>
    </row>
    <row r="1391" spans="4:10" s="22" customFormat="1" x14ac:dyDescent="0.35">
      <c r="D1391" s="3" t="s">
        <v>320</v>
      </c>
      <c r="E1391" s="3"/>
      <c r="F1391" s="3"/>
      <c r="G1391" s="3"/>
      <c r="H1391" s="3"/>
      <c r="I1391" s="3"/>
      <c r="J1391" s="3"/>
    </row>
    <row r="1392" spans="4:10" s="22" customFormat="1" x14ac:dyDescent="0.35">
      <c r="D1392" s="3"/>
      <c r="E1392" s="3"/>
      <c r="F1392" s="3"/>
      <c r="G1392" s="3"/>
      <c r="H1392" s="3"/>
      <c r="I1392" s="3"/>
      <c r="J1392" s="3"/>
    </row>
    <row r="1393" spans="4:10" s="22" customFormat="1" x14ac:dyDescent="0.35">
      <c r="D1393" s="3" t="s">
        <v>321</v>
      </c>
      <c r="E1393" s="3"/>
      <c r="F1393" s="3"/>
      <c r="G1393" s="3"/>
      <c r="H1393" s="3"/>
      <c r="I1393" s="3"/>
      <c r="J1393" s="3"/>
    </row>
    <row r="1394" spans="4:10" s="22" customFormat="1" x14ac:dyDescent="0.35">
      <c r="D1394" s="85"/>
      <c r="E1394" s="3"/>
      <c r="F1394" s="3"/>
      <c r="G1394" s="3"/>
      <c r="H1394" s="3"/>
      <c r="I1394" s="3"/>
      <c r="J1394" s="3"/>
    </row>
    <row r="1395" spans="4:10" s="22" customFormat="1" x14ac:dyDescent="0.35">
      <c r="D1395" s="86" t="s">
        <v>322</v>
      </c>
      <c r="E1395" s="3"/>
      <c r="F1395" s="3"/>
      <c r="G1395" s="3"/>
      <c r="H1395" s="3"/>
      <c r="I1395" s="3"/>
      <c r="J1395" s="3"/>
    </row>
    <row r="1396" spans="4:10" s="22" customFormat="1" x14ac:dyDescent="0.35">
      <c r="D1396" s="85"/>
      <c r="E1396" s="3"/>
      <c r="F1396" s="3"/>
      <c r="G1396" s="3"/>
      <c r="H1396" s="3"/>
      <c r="I1396" s="3"/>
      <c r="J1396" s="3"/>
    </row>
    <row r="1397" spans="4:10" s="22" customFormat="1" x14ac:dyDescent="0.35">
      <c r="D1397" s="86" t="s">
        <v>323</v>
      </c>
      <c r="E1397" s="3"/>
      <c r="F1397" s="3"/>
      <c r="G1397" s="3"/>
      <c r="H1397" s="3"/>
      <c r="I1397" s="3"/>
      <c r="J1397" s="3"/>
    </row>
    <row r="1398" spans="4:10" s="22" customFormat="1" x14ac:dyDescent="0.35">
      <c r="D1398" s="85"/>
      <c r="E1398" s="3"/>
      <c r="F1398" s="3"/>
      <c r="G1398" s="3"/>
      <c r="H1398" s="3"/>
      <c r="I1398" s="3"/>
      <c r="J1398" s="3"/>
    </row>
    <row r="1399" spans="4:10" s="22" customFormat="1" x14ac:dyDescent="0.35">
      <c r="D1399" s="86" t="s">
        <v>324</v>
      </c>
      <c r="E1399" s="3"/>
      <c r="F1399" s="3"/>
      <c r="G1399" s="3"/>
      <c r="H1399" s="3"/>
      <c r="I1399" s="3"/>
      <c r="J1399" s="3"/>
    </row>
    <row r="1400" spans="4:10" s="22" customFormat="1" x14ac:dyDescent="0.35">
      <c r="D1400" s="85"/>
      <c r="E1400" s="3"/>
      <c r="F1400" s="3"/>
      <c r="G1400" s="3"/>
      <c r="H1400" s="3"/>
      <c r="I1400" s="3"/>
      <c r="J1400" s="3"/>
    </row>
    <row r="1401" spans="4:10" s="22" customFormat="1" x14ac:dyDescent="0.35">
      <c r="D1401" s="86" t="s">
        <v>325</v>
      </c>
      <c r="E1401" s="3"/>
      <c r="F1401" s="3"/>
      <c r="G1401" s="3"/>
      <c r="H1401" s="3"/>
      <c r="I1401" s="3"/>
      <c r="J1401" s="3"/>
    </row>
    <row r="1402" spans="4:10" s="22" customFormat="1" x14ac:dyDescent="0.35">
      <c r="D1402" s="85"/>
      <c r="E1402" s="3"/>
      <c r="F1402" s="3"/>
      <c r="G1402" s="3"/>
      <c r="H1402" s="3"/>
      <c r="I1402" s="3"/>
      <c r="J1402" s="3"/>
    </row>
    <row r="1403" spans="4:10" s="22" customFormat="1" x14ac:dyDescent="0.35">
      <c r="D1403" s="86" t="s">
        <v>326</v>
      </c>
      <c r="E1403" s="3"/>
      <c r="F1403" s="3"/>
      <c r="G1403" s="3"/>
      <c r="H1403" s="3"/>
      <c r="I1403" s="3"/>
      <c r="J1403" s="3"/>
    </row>
    <row r="1404" spans="4:10" s="22" customFormat="1" x14ac:dyDescent="0.35">
      <c r="D1404" s="85"/>
      <c r="E1404" s="3"/>
      <c r="F1404" s="3"/>
      <c r="G1404" s="3"/>
      <c r="H1404" s="3"/>
      <c r="I1404" s="3"/>
      <c r="J1404" s="3"/>
    </row>
    <row r="1405" spans="4:10" s="22" customFormat="1" x14ac:dyDescent="0.35">
      <c r="D1405" s="86" t="s">
        <v>327</v>
      </c>
      <c r="E1405" s="3"/>
      <c r="F1405" s="3"/>
      <c r="G1405" s="3"/>
      <c r="H1405" s="3"/>
      <c r="I1405" s="3"/>
      <c r="J1405" s="3"/>
    </row>
    <row r="1406" spans="4:10" s="22" customFormat="1" x14ac:dyDescent="0.35">
      <c r="D1406" s="85"/>
      <c r="E1406" s="3"/>
      <c r="F1406" s="3"/>
      <c r="G1406" s="3"/>
      <c r="H1406" s="3"/>
      <c r="I1406" s="3"/>
      <c r="J1406" s="3"/>
    </row>
    <row r="1407" spans="4:10" s="22" customFormat="1" x14ac:dyDescent="0.35">
      <c r="D1407" s="86" t="s">
        <v>328</v>
      </c>
      <c r="E1407" s="3"/>
      <c r="F1407" s="3"/>
      <c r="G1407" s="3"/>
      <c r="H1407" s="3"/>
      <c r="I1407" s="3"/>
      <c r="J1407" s="3"/>
    </row>
    <row r="1408" spans="4:10" s="22" customFormat="1" x14ac:dyDescent="0.35">
      <c r="D1408" s="85"/>
      <c r="E1408" s="3"/>
      <c r="F1408" s="3"/>
      <c r="G1408" s="3"/>
      <c r="H1408" s="3"/>
      <c r="I1408" s="3"/>
      <c r="J1408" s="3"/>
    </row>
    <row r="1409" spans="4:10" s="22" customFormat="1" x14ac:dyDescent="0.35">
      <c r="D1409" s="86" t="s">
        <v>329</v>
      </c>
      <c r="E1409" s="3"/>
      <c r="F1409" s="3"/>
      <c r="G1409" s="3"/>
      <c r="H1409" s="3"/>
      <c r="I1409" s="3"/>
      <c r="J1409" s="3"/>
    </row>
    <row r="1410" spans="4:10" s="22" customFormat="1" x14ac:dyDescent="0.35">
      <c r="D1410" s="3"/>
      <c r="E1410" s="3"/>
      <c r="F1410" s="3"/>
      <c r="G1410" s="3"/>
      <c r="H1410" s="3"/>
      <c r="I1410" s="3"/>
      <c r="J1410" s="3"/>
    </row>
    <row r="1411" spans="4:10" s="22" customFormat="1" x14ac:dyDescent="0.35">
      <c r="D1411" s="3" t="s">
        <v>330</v>
      </c>
      <c r="E1411" s="3"/>
      <c r="F1411" s="3"/>
      <c r="G1411" s="3"/>
      <c r="H1411" s="3"/>
      <c r="I1411" s="3"/>
      <c r="J1411" s="3"/>
    </row>
    <row r="1412" spans="4:10" s="22" customFormat="1" x14ac:dyDescent="0.35">
      <c r="D1412" s="3"/>
      <c r="E1412" s="3"/>
      <c r="F1412" s="3"/>
      <c r="G1412" s="3"/>
      <c r="H1412" s="3"/>
      <c r="I1412" s="3"/>
      <c r="J1412" s="3"/>
    </row>
    <row r="1413" spans="4:10" s="22" customFormat="1" x14ac:dyDescent="0.35">
      <c r="D1413" s="81" t="s">
        <v>331</v>
      </c>
      <c r="E1413" s="3"/>
      <c r="F1413" s="3"/>
      <c r="G1413" s="3"/>
      <c r="H1413" s="3"/>
      <c r="I1413" s="3"/>
      <c r="J1413" s="3"/>
    </row>
    <row r="1414" spans="4:10" s="22" customFormat="1" x14ac:dyDescent="0.35">
      <c r="D1414" s="3"/>
      <c r="E1414" s="3"/>
      <c r="F1414" s="3"/>
      <c r="G1414" s="3"/>
      <c r="H1414" s="3"/>
      <c r="I1414" s="3"/>
      <c r="J1414" s="3"/>
    </row>
    <row r="1415" spans="4:10" s="22" customFormat="1" x14ac:dyDescent="0.35">
      <c r="D1415" s="3" t="s">
        <v>332</v>
      </c>
      <c r="E1415" s="3"/>
      <c r="F1415" s="3"/>
      <c r="G1415" s="3"/>
      <c r="H1415" s="3"/>
      <c r="I1415" s="3"/>
      <c r="J1415" s="3"/>
    </row>
    <row r="1416" spans="4:10" s="22" customFormat="1" x14ac:dyDescent="0.35">
      <c r="D1416" s="3"/>
      <c r="E1416" s="3"/>
      <c r="F1416" s="3"/>
      <c r="G1416" s="3"/>
      <c r="H1416" s="3"/>
      <c r="I1416" s="3"/>
      <c r="J1416" s="3"/>
    </row>
    <row r="1417" spans="4:10" s="22" customFormat="1" x14ac:dyDescent="0.35">
      <c r="D1417" s="3"/>
      <c r="E1417" s="3"/>
      <c r="F1417" s="3"/>
      <c r="G1417" s="3"/>
      <c r="H1417" s="3"/>
      <c r="I1417" s="3"/>
      <c r="J1417" s="3"/>
    </row>
    <row r="1418" spans="4:10" s="22" customFormat="1" x14ac:dyDescent="0.35">
      <c r="D1418" s="3"/>
      <c r="E1418" s="3"/>
      <c r="F1418" s="3"/>
      <c r="G1418" s="3"/>
      <c r="H1418" s="3"/>
      <c r="I1418" s="3"/>
      <c r="J1418" s="3"/>
    </row>
    <row r="1419" spans="4:10" s="22" customFormat="1" ht="22.5" x14ac:dyDescent="0.35">
      <c r="D1419" s="83" t="s">
        <v>333</v>
      </c>
      <c r="E1419" s="3"/>
      <c r="F1419" s="3"/>
      <c r="G1419" s="3"/>
      <c r="H1419" s="3"/>
      <c r="I1419" s="3"/>
      <c r="J1419" s="3"/>
    </row>
    <row r="1420" spans="4:10" s="22" customFormat="1" x14ac:dyDescent="0.35">
      <c r="D1420" s="3"/>
      <c r="E1420" s="3"/>
      <c r="F1420" s="3"/>
      <c r="G1420" s="3"/>
      <c r="H1420" s="3"/>
      <c r="I1420" s="3"/>
      <c r="J1420" s="3"/>
    </row>
    <row r="1421" spans="4:10" s="22" customFormat="1" x14ac:dyDescent="0.35">
      <c r="D1421" s="3" t="s">
        <v>334</v>
      </c>
      <c r="E1421" s="3"/>
      <c r="F1421" s="3"/>
      <c r="G1421" s="3"/>
      <c r="H1421" s="3"/>
      <c r="I1421" s="3"/>
      <c r="J1421" s="3"/>
    </row>
    <row r="1422" spans="4:10" s="22" customFormat="1" x14ac:dyDescent="0.35">
      <c r="D1422" s="82"/>
      <c r="E1422" s="3"/>
      <c r="F1422" s="3"/>
      <c r="G1422" s="3"/>
      <c r="H1422" s="3"/>
      <c r="I1422" s="3"/>
      <c r="J1422" s="3"/>
    </row>
    <row r="1423" spans="4:10" s="22" customFormat="1" x14ac:dyDescent="0.35">
      <c r="D1423" s="82" t="s">
        <v>335</v>
      </c>
      <c r="E1423" s="3"/>
      <c r="F1423" s="3"/>
      <c r="G1423" s="3"/>
      <c r="H1423" s="3"/>
      <c r="I1423" s="3"/>
      <c r="J1423" s="3"/>
    </row>
    <row r="1424" spans="4:10" s="22" customFormat="1" x14ac:dyDescent="0.35">
      <c r="D1424" s="3"/>
      <c r="E1424" s="3"/>
      <c r="F1424" s="3"/>
      <c r="G1424" s="3"/>
      <c r="H1424" s="3"/>
      <c r="I1424" s="3"/>
      <c r="J1424" s="3"/>
    </row>
    <row r="1425" spans="4:10" s="22" customFormat="1" x14ac:dyDescent="0.35">
      <c r="D1425" s="3" t="s">
        <v>336</v>
      </c>
      <c r="E1425" s="3"/>
      <c r="F1425" s="3"/>
      <c r="G1425" s="3"/>
      <c r="H1425" s="3"/>
      <c r="I1425" s="3"/>
      <c r="J1425" s="3"/>
    </row>
    <row r="1426" spans="4:10" s="22" customFormat="1" x14ac:dyDescent="0.35">
      <c r="D1426" s="82"/>
      <c r="E1426" s="3"/>
      <c r="F1426" s="3"/>
      <c r="G1426" s="3"/>
      <c r="H1426" s="3"/>
      <c r="I1426" s="3"/>
      <c r="J1426" s="3"/>
    </row>
    <row r="1427" spans="4:10" s="22" customFormat="1" x14ac:dyDescent="0.35">
      <c r="D1427" s="82" t="s">
        <v>337</v>
      </c>
      <c r="E1427" s="3"/>
      <c r="F1427" s="3"/>
      <c r="G1427" s="3"/>
      <c r="H1427" s="3"/>
      <c r="I1427" s="3"/>
      <c r="J1427" s="3"/>
    </row>
    <row r="1428" spans="4:10" s="22" customFormat="1" x14ac:dyDescent="0.35">
      <c r="D1428" s="3"/>
      <c r="E1428" s="3"/>
      <c r="F1428" s="3"/>
      <c r="G1428" s="3"/>
      <c r="H1428" s="3"/>
      <c r="I1428" s="3"/>
      <c r="J1428" s="3"/>
    </row>
    <row r="1429" spans="4:10" s="22" customFormat="1" x14ac:dyDescent="0.35">
      <c r="D1429" s="3" t="s">
        <v>334</v>
      </c>
      <c r="E1429" s="3"/>
      <c r="F1429" s="3"/>
      <c r="G1429" s="3"/>
      <c r="H1429" s="3"/>
      <c r="I1429" s="3"/>
      <c r="J1429" s="3"/>
    </row>
    <row r="1430" spans="4:10" s="22" customFormat="1" x14ac:dyDescent="0.35">
      <c r="D1430" s="82"/>
      <c r="E1430" s="3"/>
      <c r="F1430" s="3"/>
      <c r="G1430" s="3"/>
      <c r="H1430" s="3"/>
      <c r="I1430" s="3"/>
      <c r="J1430" s="3"/>
    </row>
    <row r="1431" spans="4:10" s="22" customFormat="1" x14ac:dyDescent="0.35">
      <c r="D1431" s="82" t="s">
        <v>338</v>
      </c>
      <c r="E1431" s="3"/>
      <c r="F1431" s="3"/>
      <c r="G1431" s="3"/>
      <c r="H1431" s="3"/>
      <c r="I1431" s="3"/>
      <c r="J1431" s="3"/>
    </row>
    <row r="1432" spans="4:10" s="22" customFormat="1" x14ac:dyDescent="0.35">
      <c r="D1432" s="3"/>
      <c r="E1432" s="3"/>
      <c r="F1432" s="3"/>
      <c r="G1432" s="3"/>
      <c r="H1432" s="3"/>
      <c r="I1432" s="3"/>
      <c r="J1432" s="3"/>
    </row>
    <row r="1433" spans="4:10" s="22" customFormat="1" x14ac:dyDescent="0.35">
      <c r="D1433" s="3" t="s">
        <v>336</v>
      </c>
      <c r="E1433" s="3"/>
      <c r="F1433" s="3"/>
      <c r="G1433" s="3"/>
      <c r="H1433" s="3"/>
      <c r="I1433" s="3"/>
      <c r="J1433" s="3"/>
    </row>
    <row r="1434" spans="4:10" s="22" customFormat="1" x14ac:dyDescent="0.35">
      <c r="D1434" s="82"/>
      <c r="E1434" s="3"/>
      <c r="F1434" s="3"/>
      <c r="G1434" s="3"/>
      <c r="H1434" s="3"/>
      <c r="I1434" s="3"/>
      <c r="J1434" s="3"/>
    </row>
    <row r="1435" spans="4:10" s="22" customFormat="1" x14ac:dyDescent="0.35">
      <c r="D1435" s="82" t="s">
        <v>339</v>
      </c>
      <c r="E1435" s="3"/>
      <c r="F1435" s="3"/>
      <c r="G1435" s="3"/>
      <c r="H1435" s="3"/>
      <c r="I1435" s="3"/>
      <c r="J1435" s="3"/>
    </row>
    <row r="1436" spans="4:10" s="22" customFormat="1" x14ac:dyDescent="0.35">
      <c r="D1436" s="3"/>
      <c r="E1436" s="3"/>
      <c r="F1436" s="3"/>
      <c r="G1436" s="3"/>
      <c r="H1436" s="3"/>
      <c r="I1436" s="3"/>
      <c r="J1436" s="3"/>
    </row>
    <row r="1437" spans="4:10" s="22" customFormat="1" x14ac:dyDescent="0.35">
      <c r="D1437" s="3"/>
      <c r="E1437" s="3"/>
      <c r="F1437" s="3"/>
      <c r="G1437" s="3"/>
      <c r="H1437" s="3"/>
      <c r="I1437" s="3"/>
      <c r="J1437" s="3"/>
    </row>
    <row r="1438" spans="4:10" s="22" customFormat="1" x14ac:dyDescent="0.35">
      <c r="D1438" s="3"/>
      <c r="E1438" s="3"/>
      <c r="F1438" s="3"/>
      <c r="G1438" s="3"/>
      <c r="H1438" s="3"/>
      <c r="I1438" s="3"/>
      <c r="J1438" s="3"/>
    </row>
    <row r="1439" spans="4:10" s="22" customFormat="1" ht="22.5" x14ac:dyDescent="0.35">
      <c r="D1439" s="83" t="s">
        <v>340</v>
      </c>
      <c r="E1439" s="3"/>
      <c r="F1439" s="3"/>
      <c r="G1439" s="3"/>
      <c r="H1439" s="3"/>
      <c r="I1439" s="3"/>
      <c r="J1439" s="3"/>
    </row>
    <row r="1440" spans="4:10" s="22" customFormat="1" x14ac:dyDescent="0.35">
      <c r="D1440" s="3"/>
      <c r="E1440" s="3"/>
      <c r="F1440" s="3"/>
      <c r="G1440" s="3"/>
      <c r="H1440" s="3"/>
      <c r="I1440" s="3"/>
      <c r="J1440" s="3"/>
    </row>
    <row r="1441" spans="4:10" s="22" customFormat="1" x14ac:dyDescent="0.35">
      <c r="D1441" s="3" t="s">
        <v>341</v>
      </c>
      <c r="E1441" s="3"/>
      <c r="F1441" s="3"/>
      <c r="G1441" s="3"/>
      <c r="H1441" s="3"/>
      <c r="I1441" s="3"/>
      <c r="J1441" s="3"/>
    </row>
    <row r="1442" spans="4:10" s="22" customFormat="1" x14ac:dyDescent="0.35">
      <c r="D1442" s="85"/>
      <c r="E1442" s="3"/>
      <c r="F1442" s="3"/>
      <c r="G1442" s="3"/>
      <c r="H1442" s="3"/>
      <c r="I1442" s="3"/>
      <c r="J1442" s="3"/>
    </row>
    <row r="1443" spans="4:10" s="22" customFormat="1" x14ac:dyDescent="0.35">
      <c r="D1443" s="86" t="s">
        <v>342</v>
      </c>
      <c r="E1443" s="3"/>
      <c r="F1443" s="3"/>
      <c r="G1443" s="3"/>
      <c r="H1443" s="3"/>
      <c r="I1443" s="3"/>
      <c r="J1443" s="3"/>
    </row>
    <row r="1444" spans="4:10" s="22" customFormat="1" x14ac:dyDescent="0.35">
      <c r="D1444" s="85"/>
      <c r="E1444" s="3"/>
      <c r="F1444" s="3"/>
      <c r="G1444" s="3"/>
      <c r="H1444" s="3"/>
      <c r="I1444" s="3"/>
      <c r="J1444" s="3"/>
    </row>
    <row r="1445" spans="4:10" s="22" customFormat="1" x14ac:dyDescent="0.35">
      <c r="D1445" s="86" t="s">
        <v>343</v>
      </c>
      <c r="E1445" s="3"/>
      <c r="F1445" s="3"/>
      <c r="G1445" s="3"/>
      <c r="H1445" s="3"/>
      <c r="I1445" s="3"/>
      <c r="J1445" s="3"/>
    </row>
    <row r="1446" spans="4:10" s="22" customFormat="1" x14ac:dyDescent="0.35">
      <c r="D1446" s="85"/>
      <c r="E1446" s="3"/>
      <c r="F1446" s="3"/>
      <c r="G1446" s="3"/>
      <c r="H1446" s="3"/>
      <c r="I1446" s="3"/>
      <c r="J1446" s="3"/>
    </row>
    <row r="1447" spans="4:10" s="22" customFormat="1" x14ac:dyDescent="0.35">
      <c r="D1447" s="86" t="s">
        <v>344</v>
      </c>
      <c r="E1447" s="3"/>
      <c r="F1447" s="3"/>
      <c r="G1447" s="3"/>
      <c r="H1447" s="3"/>
      <c r="I1447" s="3"/>
      <c r="J1447" s="3"/>
    </row>
    <row r="1448" spans="4:10" s="22" customFormat="1" x14ac:dyDescent="0.35">
      <c r="D1448" s="85"/>
      <c r="E1448" s="3"/>
      <c r="F1448" s="3"/>
      <c r="G1448" s="3"/>
      <c r="H1448" s="3"/>
      <c r="I1448" s="3"/>
      <c r="J1448" s="3"/>
    </row>
    <row r="1449" spans="4:10" s="22" customFormat="1" x14ac:dyDescent="0.35">
      <c r="D1449" s="86" t="s">
        <v>345</v>
      </c>
      <c r="E1449" s="3"/>
      <c r="F1449" s="3"/>
      <c r="G1449" s="3"/>
      <c r="H1449" s="3"/>
      <c r="I1449" s="3"/>
      <c r="J1449" s="3"/>
    </row>
    <row r="1450" spans="4:10" s="22" customFormat="1" x14ac:dyDescent="0.35">
      <c r="D1450" s="85"/>
      <c r="E1450" s="3"/>
      <c r="F1450" s="3"/>
      <c r="G1450" s="3"/>
      <c r="H1450" s="3"/>
      <c r="I1450" s="3"/>
      <c r="J1450" s="3"/>
    </row>
    <row r="1451" spans="4:10" s="22" customFormat="1" x14ac:dyDescent="0.35">
      <c r="D1451" s="86" t="s">
        <v>346</v>
      </c>
      <c r="E1451" s="3"/>
      <c r="F1451" s="3"/>
      <c r="G1451" s="3"/>
      <c r="H1451" s="3"/>
      <c r="I1451" s="3"/>
      <c r="J1451" s="3"/>
    </row>
    <row r="1452" spans="4:10" s="22" customFormat="1" x14ac:dyDescent="0.35">
      <c r="D1452" s="85"/>
      <c r="E1452" s="3"/>
      <c r="F1452" s="3"/>
      <c r="G1452" s="3"/>
      <c r="H1452" s="3"/>
      <c r="I1452" s="3"/>
      <c r="J1452" s="3"/>
    </row>
    <row r="1453" spans="4:10" s="22" customFormat="1" x14ac:dyDescent="0.35">
      <c r="D1453" s="86" t="s">
        <v>347</v>
      </c>
      <c r="E1453" s="3"/>
      <c r="F1453" s="3"/>
      <c r="G1453" s="3"/>
      <c r="H1453" s="3"/>
      <c r="I1453" s="3"/>
      <c r="J1453" s="3"/>
    </row>
    <row r="1454" spans="4:10" s="22" customFormat="1" x14ac:dyDescent="0.35">
      <c r="D1454" s="85"/>
      <c r="E1454" s="3"/>
      <c r="F1454" s="3"/>
      <c r="G1454" s="3"/>
      <c r="H1454" s="3"/>
      <c r="I1454" s="3"/>
      <c r="J1454" s="3"/>
    </row>
    <row r="1455" spans="4:10" s="22" customFormat="1" x14ac:dyDescent="0.35">
      <c r="D1455" s="86" t="s">
        <v>348</v>
      </c>
      <c r="E1455" s="3"/>
      <c r="F1455" s="3"/>
      <c r="G1455" s="3"/>
      <c r="H1455" s="3"/>
      <c r="I1455" s="3"/>
      <c r="J1455" s="3"/>
    </row>
    <row r="1456" spans="4:10" s="22" customFormat="1" x14ac:dyDescent="0.35">
      <c r="D1456" s="85"/>
      <c r="E1456" s="3"/>
      <c r="F1456" s="3"/>
      <c r="G1456" s="3"/>
      <c r="H1456" s="3"/>
      <c r="I1456" s="3"/>
      <c r="J1456" s="3"/>
    </row>
    <row r="1457" spans="4:10" s="22" customFormat="1" x14ac:dyDescent="0.35">
      <c r="D1457" s="86" t="s">
        <v>349</v>
      </c>
      <c r="E1457" s="3"/>
      <c r="F1457" s="3"/>
      <c r="G1457" s="3"/>
      <c r="H1457" s="3"/>
      <c r="I1457" s="3"/>
      <c r="J1457" s="3"/>
    </row>
    <row r="1458" spans="4:10" s="22" customFormat="1" x14ac:dyDescent="0.35">
      <c r="D1458" s="3"/>
      <c r="E1458" s="3"/>
      <c r="F1458" s="3"/>
      <c r="G1458" s="3"/>
      <c r="H1458" s="3"/>
      <c r="I1458" s="3"/>
      <c r="J1458" s="3"/>
    </row>
    <row r="1459" spans="4:10" s="22" customFormat="1" x14ac:dyDescent="0.35">
      <c r="D1459" s="3" t="s">
        <v>350</v>
      </c>
      <c r="E1459" s="3"/>
      <c r="F1459" s="3"/>
      <c r="G1459" s="3"/>
      <c r="H1459" s="3"/>
      <c r="I1459" s="3"/>
      <c r="J1459" s="3"/>
    </row>
    <row r="1460" spans="4:10" s="22" customFormat="1" x14ac:dyDescent="0.35">
      <c r="D1460" s="3"/>
      <c r="E1460" s="3"/>
      <c r="F1460" s="3"/>
      <c r="G1460" s="3"/>
      <c r="H1460" s="3"/>
      <c r="I1460" s="3"/>
      <c r="J1460" s="3"/>
    </row>
    <row r="1461" spans="4:10" s="22" customFormat="1" x14ac:dyDescent="0.35">
      <c r="D1461" s="3"/>
      <c r="E1461" s="3"/>
      <c r="F1461" s="3"/>
      <c r="G1461" s="3"/>
      <c r="H1461" s="3"/>
      <c r="I1461" s="3"/>
      <c r="J1461" s="3"/>
    </row>
    <row r="1462" spans="4:10" s="22" customFormat="1" x14ac:dyDescent="0.35">
      <c r="D1462" s="3"/>
      <c r="E1462" s="3"/>
      <c r="F1462" s="3"/>
      <c r="G1462" s="3"/>
      <c r="H1462" s="3"/>
      <c r="I1462" s="3"/>
      <c r="J1462" s="3"/>
    </row>
    <row r="1463" spans="4:10" s="22" customFormat="1" ht="22.5" x14ac:dyDescent="0.35">
      <c r="D1463" s="83" t="s">
        <v>351</v>
      </c>
      <c r="E1463" s="3"/>
      <c r="F1463" s="3"/>
      <c r="G1463" s="3"/>
      <c r="H1463" s="3"/>
      <c r="I1463" s="3"/>
      <c r="J1463" s="3"/>
    </row>
    <row r="1464" spans="4:10" s="22" customFormat="1" x14ac:dyDescent="0.35">
      <c r="D1464" s="3"/>
      <c r="E1464" s="3"/>
      <c r="F1464" s="3"/>
      <c r="G1464" s="3"/>
      <c r="H1464" s="3"/>
      <c r="I1464" s="3"/>
      <c r="J1464" s="3"/>
    </row>
    <row r="1465" spans="4:10" s="22" customFormat="1" x14ac:dyDescent="0.35">
      <c r="D1465" s="3" t="s">
        <v>352</v>
      </c>
      <c r="E1465" s="3"/>
      <c r="F1465" s="3"/>
      <c r="G1465" s="3"/>
      <c r="H1465" s="3"/>
      <c r="I1465" s="3"/>
      <c r="J1465" s="3"/>
    </row>
    <row r="1466" spans="4:10" s="22" customFormat="1" x14ac:dyDescent="0.35">
      <c r="D1466" s="3"/>
      <c r="E1466" s="3"/>
      <c r="F1466" s="3"/>
      <c r="G1466" s="3"/>
      <c r="H1466" s="3"/>
      <c r="I1466" s="3"/>
      <c r="J1466" s="3"/>
    </row>
    <row r="1467" spans="4:10" s="22" customFormat="1" x14ac:dyDescent="0.35">
      <c r="D1467" s="3" t="s">
        <v>353</v>
      </c>
      <c r="E1467" s="3"/>
      <c r="F1467" s="3"/>
      <c r="G1467" s="3"/>
      <c r="H1467" s="3"/>
      <c r="I1467" s="3"/>
      <c r="J1467" s="3"/>
    </row>
    <row r="1468" spans="4:10" s="22" customFormat="1" x14ac:dyDescent="0.35">
      <c r="D1468" s="3"/>
      <c r="E1468" s="3"/>
      <c r="F1468" s="3"/>
      <c r="G1468" s="3"/>
      <c r="H1468" s="3"/>
      <c r="I1468" s="3"/>
      <c r="J1468" s="3"/>
    </row>
    <row r="1469" spans="4:10" s="22" customFormat="1" x14ac:dyDescent="0.35">
      <c r="D1469" s="3" t="s">
        <v>354</v>
      </c>
      <c r="E1469" s="3"/>
      <c r="F1469" s="3"/>
      <c r="G1469" s="3"/>
      <c r="H1469" s="3"/>
      <c r="I1469" s="3"/>
      <c r="J1469" s="3"/>
    </row>
    <row r="1470" spans="4:10" s="22" customFormat="1" x14ac:dyDescent="0.35">
      <c r="D1470" s="3"/>
      <c r="E1470" s="3"/>
      <c r="F1470" s="3"/>
      <c r="G1470" s="3"/>
      <c r="H1470" s="3"/>
      <c r="I1470" s="3"/>
      <c r="J1470" s="3"/>
    </row>
    <row r="1471" spans="4:10" s="22" customFormat="1" x14ac:dyDescent="0.35">
      <c r="D1471" s="3" t="s">
        <v>355</v>
      </c>
      <c r="E1471" s="3"/>
      <c r="F1471" s="3"/>
      <c r="G1471" s="3"/>
      <c r="H1471" s="3"/>
      <c r="I1471" s="3"/>
      <c r="J1471" s="3"/>
    </row>
    <row r="1472" spans="4:10" s="22" customFormat="1" x14ac:dyDescent="0.35">
      <c r="D1472" s="3"/>
      <c r="E1472" s="3"/>
      <c r="F1472" s="3"/>
      <c r="G1472" s="3"/>
      <c r="H1472" s="3"/>
      <c r="I1472" s="3"/>
      <c r="J1472" s="3"/>
    </row>
    <row r="1473" spans="4:10" s="22" customFormat="1" x14ac:dyDescent="0.35">
      <c r="D1473" s="3"/>
      <c r="E1473" s="3"/>
      <c r="F1473" s="3"/>
      <c r="G1473" s="3"/>
      <c r="H1473" s="3"/>
      <c r="I1473" s="3"/>
      <c r="J1473" s="3"/>
    </row>
    <row r="1474" spans="4:10" s="22" customFormat="1" x14ac:dyDescent="0.35">
      <c r="D1474" s="3"/>
      <c r="E1474" s="3"/>
      <c r="F1474" s="3"/>
      <c r="G1474" s="3"/>
      <c r="H1474" s="3"/>
      <c r="I1474" s="3"/>
      <c r="J1474" s="3"/>
    </row>
    <row r="1475" spans="4:10" s="22" customFormat="1" ht="22.5" x14ac:dyDescent="0.35">
      <c r="D1475" s="83" t="s">
        <v>356</v>
      </c>
      <c r="E1475" s="3"/>
      <c r="F1475" s="3"/>
      <c r="G1475" s="3"/>
      <c r="H1475" s="3"/>
      <c r="I1475" s="3"/>
      <c r="J1475" s="3"/>
    </row>
    <row r="1476" spans="4:10" s="22" customFormat="1" x14ac:dyDescent="0.35">
      <c r="D1476" s="3"/>
      <c r="E1476" s="3"/>
      <c r="F1476" s="3"/>
      <c r="G1476" s="3"/>
      <c r="H1476" s="3"/>
      <c r="I1476" s="3"/>
      <c r="J1476" s="3"/>
    </row>
    <row r="1477" spans="4:10" s="22" customFormat="1" x14ac:dyDescent="0.35">
      <c r="D1477" s="3" t="s">
        <v>357</v>
      </c>
      <c r="E1477" s="3"/>
      <c r="F1477" s="3"/>
      <c r="G1477" s="3"/>
      <c r="H1477" s="3"/>
      <c r="I1477" s="3"/>
      <c r="J1477" s="3"/>
    </row>
    <row r="1478" spans="4:10" s="22" customFormat="1" x14ac:dyDescent="0.35">
      <c r="D1478" s="82"/>
      <c r="E1478" s="3"/>
      <c r="F1478" s="3"/>
      <c r="G1478" s="3"/>
      <c r="H1478" s="3"/>
      <c r="I1478" s="3"/>
      <c r="J1478" s="3"/>
    </row>
    <row r="1479" spans="4:10" s="22" customFormat="1" x14ac:dyDescent="0.35">
      <c r="D1479" s="82" t="s">
        <v>358</v>
      </c>
      <c r="E1479" s="3"/>
      <c r="F1479" s="3"/>
      <c r="G1479" s="3"/>
      <c r="H1479" s="3"/>
      <c r="I1479" s="3"/>
      <c r="J1479" s="3"/>
    </row>
    <row r="1480" spans="4:10" s="22" customFormat="1" x14ac:dyDescent="0.35">
      <c r="D1480" s="82" t="s">
        <v>359</v>
      </c>
      <c r="E1480" s="3"/>
      <c r="F1480" s="3"/>
      <c r="G1480" s="3"/>
      <c r="H1480" s="3"/>
      <c r="I1480" s="3"/>
      <c r="J1480" s="3"/>
    </row>
    <row r="1481" spans="4:10" s="22" customFormat="1" x14ac:dyDescent="0.35">
      <c r="D1481" s="82" t="s">
        <v>360</v>
      </c>
      <c r="E1481" s="3"/>
      <c r="F1481" s="3"/>
      <c r="G1481" s="3"/>
      <c r="H1481" s="3"/>
      <c r="I1481" s="3"/>
      <c r="J1481" s="3"/>
    </row>
    <row r="1482" spans="4:10" s="22" customFormat="1" x14ac:dyDescent="0.35">
      <c r="D1482" s="3"/>
      <c r="E1482" s="3"/>
      <c r="F1482" s="3"/>
      <c r="G1482" s="3"/>
      <c r="H1482" s="3"/>
      <c r="I1482" s="3"/>
      <c r="J1482" s="3"/>
    </row>
    <row r="1483" spans="4:10" s="22" customFormat="1" x14ac:dyDescent="0.35">
      <c r="D1483" s="3" t="s">
        <v>361</v>
      </c>
      <c r="E1483" s="3"/>
      <c r="F1483" s="3"/>
      <c r="G1483" s="3"/>
      <c r="H1483" s="3"/>
      <c r="I1483" s="3"/>
      <c r="J1483" s="3"/>
    </row>
    <row r="1484" spans="4:10" s="22" customFormat="1" x14ac:dyDescent="0.35">
      <c r="D1484" s="3"/>
      <c r="E1484" s="3"/>
      <c r="F1484" s="3"/>
      <c r="G1484" s="3"/>
      <c r="H1484" s="3"/>
      <c r="I1484" s="3"/>
      <c r="J1484" s="3"/>
    </row>
    <row r="1485" spans="4:10" s="22" customFormat="1" x14ac:dyDescent="0.35">
      <c r="D1485" s="3"/>
      <c r="E1485" s="3"/>
      <c r="F1485" s="3"/>
      <c r="G1485" s="3"/>
      <c r="H1485" s="3"/>
      <c r="I1485" s="3"/>
      <c r="J1485" s="3"/>
    </row>
    <row r="1486" spans="4:10" s="22" customFormat="1" x14ac:dyDescent="0.35">
      <c r="D1486" s="3"/>
      <c r="E1486" s="3"/>
      <c r="F1486" s="3"/>
      <c r="G1486" s="3"/>
      <c r="H1486" s="3"/>
      <c r="I1486" s="3"/>
      <c r="J1486" s="3"/>
    </row>
    <row r="1487" spans="4:10" s="22" customFormat="1" ht="22.5" x14ac:dyDescent="0.35">
      <c r="D1487" s="83" t="s">
        <v>362</v>
      </c>
      <c r="E1487" s="3"/>
      <c r="F1487" s="3"/>
      <c r="G1487" s="3"/>
      <c r="H1487" s="3"/>
      <c r="I1487" s="3"/>
      <c r="J1487" s="3"/>
    </row>
    <row r="1488" spans="4:10" s="22" customFormat="1" x14ac:dyDescent="0.35">
      <c r="D1488" s="3"/>
      <c r="E1488" s="3"/>
      <c r="F1488" s="3"/>
      <c r="G1488" s="3"/>
      <c r="H1488" s="3"/>
      <c r="I1488" s="3"/>
      <c r="J1488" s="3"/>
    </row>
    <row r="1489" spans="4:10" s="22" customFormat="1" x14ac:dyDescent="0.35">
      <c r="D1489" s="3" t="s">
        <v>363</v>
      </c>
      <c r="E1489" s="3"/>
      <c r="F1489" s="3"/>
      <c r="G1489" s="3"/>
      <c r="H1489" s="3"/>
      <c r="I1489" s="3"/>
      <c r="J1489" s="3"/>
    </row>
    <row r="1490" spans="4:10" s="22" customFormat="1" x14ac:dyDescent="0.35">
      <c r="D1490" s="3"/>
      <c r="E1490" s="3"/>
      <c r="F1490" s="3"/>
      <c r="G1490" s="3"/>
      <c r="H1490" s="3"/>
      <c r="I1490" s="3"/>
      <c r="J1490" s="3"/>
    </row>
    <row r="1491" spans="4:10" s="22" customFormat="1" x14ac:dyDescent="0.35">
      <c r="D1491" s="3" t="s">
        <v>577</v>
      </c>
      <c r="E1491" s="3"/>
      <c r="F1491" s="3"/>
      <c r="G1491" s="3"/>
      <c r="H1491" s="3"/>
      <c r="I1491" s="3"/>
      <c r="J1491" s="3"/>
    </row>
    <row r="1492" spans="4:10" s="22" customFormat="1" x14ac:dyDescent="0.35">
      <c r="D1492" s="3"/>
      <c r="E1492" s="3"/>
      <c r="F1492" s="3"/>
      <c r="G1492" s="3"/>
      <c r="H1492" s="3"/>
      <c r="I1492" s="3"/>
      <c r="J1492" s="3"/>
    </row>
    <row r="1493" spans="4:10" s="22" customFormat="1" x14ac:dyDescent="0.35">
      <c r="D1493" s="3" t="s">
        <v>364</v>
      </c>
      <c r="E1493" s="3"/>
      <c r="F1493" s="3"/>
      <c r="G1493" s="3"/>
      <c r="H1493" s="3"/>
      <c r="I1493" s="3"/>
      <c r="J1493" s="3"/>
    </row>
    <row r="1494" spans="4:10" s="22" customFormat="1" x14ac:dyDescent="0.35">
      <c r="D1494" s="3"/>
      <c r="E1494" s="3"/>
      <c r="F1494" s="3"/>
      <c r="G1494" s="3"/>
      <c r="H1494" s="3"/>
      <c r="I1494" s="3"/>
      <c r="J1494" s="3"/>
    </row>
    <row r="1495" spans="4:10" s="22" customFormat="1" x14ac:dyDescent="0.35">
      <c r="D1495" s="3" t="s">
        <v>578</v>
      </c>
      <c r="E1495" s="3"/>
      <c r="F1495" s="3"/>
      <c r="G1495" s="3"/>
      <c r="H1495" s="3"/>
      <c r="I1495" s="3"/>
      <c r="J1495" s="3"/>
    </row>
    <row r="1496" spans="4:10" s="22" customFormat="1" x14ac:dyDescent="0.35">
      <c r="D1496" s="3"/>
      <c r="E1496" s="3"/>
      <c r="F1496" s="3"/>
      <c r="G1496" s="3"/>
      <c r="H1496" s="3"/>
      <c r="I1496" s="3"/>
      <c r="J1496" s="3"/>
    </row>
    <row r="1497" spans="4:10" s="22" customFormat="1" x14ac:dyDescent="0.35">
      <c r="D1497" s="3" t="s">
        <v>365</v>
      </c>
      <c r="E1497" s="3"/>
      <c r="F1497" s="3"/>
      <c r="G1497" s="3"/>
      <c r="H1497" s="3"/>
      <c r="I1497" s="3"/>
      <c r="J1497" s="3"/>
    </row>
    <row r="1498" spans="4:10" s="22" customFormat="1" x14ac:dyDescent="0.35">
      <c r="D1498" s="3"/>
      <c r="E1498" s="3"/>
      <c r="F1498" s="3"/>
      <c r="G1498" s="3"/>
      <c r="H1498" s="3"/>
      <c r="I1498" s="3"/>
      <c r="J1498" s="3"/>
    </row>
    <row r="1499" spans="4:10" s="22" customFormat="1" x14ac:dyDescent="0.35">
      <c r="D1499" s="3"/>
      <c r="E1499" s="3"/>
      <c r="F1499" s="3"/>
      <c r="G1499" s="3"/>
      <c r="H1499" s="3"/>
      <c r="I1499" s="3"/>
      <c r="J1499" s="3"/>
    </row>
    <row r="1500" spans="4:10" s="22" customFormat="1" x14ac:dyDescent="0.35">
      <c r="D1500" s="3"/>
      <c r="E1500" s="3"/>
      <c r="F1500" s="3"/>
      <c r="G1500" s="3"/>
      <c r="H1500" s="3"/>
      <c r="I1500" s="3"/>
      <c r="J1500" s="3"/>
    </row>
    <row r="1501" spans="4:10" s="22" customFormat="1" ht="30" x14ac:dyDescent="0.35">
      <c r="D1501" s="84" t="s">
        <v>366</v>
      </c>
      <c r="E1501" s="3"/>
      <c r="F1501" s="3"/>
      <c r="G1501" s="3"/>
      <c r="H1501" s="3"/>
      <c r="I1501" s="3"/>
      <c r="J1501" s="3"/>
    </row>
    <row r="1502" spans="4:10" s="22" customFormat="1" x14ac:dyDescent="0.35">
      <c r="D1502" s="3"/>
      <c r="E1502" s="3"/>
      <c r="F1502" s="3"/>
      <c r="G1502" s="3"/>
      <c r="H1502" s="3"/>
      <c r="I1502" s="3"/>
      <c r="J1502" s="3"/>
    </row>
    <row r="1503" spans="4:10" s="22" customFormat="1" x14ac:dyDescent="0.35">
      <c r="D1503" s="3" t="s">
        <v>367</v>
      </c>
      <c r="E1503" s="3"/>
      <c r="F1503" s="3"/>
      <c r="G1503" s="3"/>
      <c r="H1503" s="3"/>
      <c r="I1503" s="3"/>
      <c r="J1503" s="3"/>
    </row>
    <row r="1504" spans="4:10" s="22" customFormat="1" x14ac:dyDescent="0.35">
      <c r="D1504" s="3"/>
      <c r="E1504" s="3"/>
      <c r="F1504" s="3"/>
      <c r="G1504" s="3"/>
      <c r="H1504" s="3"/>
      <c r="I1504" s="3"/>
      <c r="J1504" s="3"/>
    </row>
    <row r="1505" spans="4:10" s="22" customFormat="1" x14ac:dyDescent="0.35">
      <c r="D1505" s="3" t="s">
        <v>368</v>
      </c>
      <c r="E1505" s="3"/>
      <c r="F1505" s="3"/>
      <c r="G1505" s="3"/>
      <c r="H1505" s="3"/>
      <c r="I1505" s="3"/>
      <c r="J1505" s="3"/>
    </row>
    <row r="1506" spans="4:10" s="22" customFormat="1" x14ac:dyDescent="0.35">
      <c r="D1506" s="3"/>
      <c r="E1506" s="3"/>
      <c r="F1506" s="3"/>
      <c r="G1506" s="3"/>
      <c r="H1506" s="3"/>
      <c r="I1506" s="3"/>
      <c r="J1506" s="3"/>
    </row>
    <row r="1507" spans="4:10" s="22" customFormat="1" x14ac:dyDescent="0.35">
      <c r="D1507" s="81" t="s">
        <v>579</v>
      </c>
      <c r="E1507" s="3"/>
      <c r="F1507" s="3"/>
      <c r="G1507" s="3"/>
      <c r="H1507" s="3"/>
      <c r="I1507" s="3"/>
      <c r="J1507" s="3"/>
    </row>
    <row r="1508" spans="4:10" s="22" customFormat="1" x14ac:dyDescent="0.35">
      <c r="D1508" s="3"/>
      <c r="E1508" s="3"/>
      <c r="F1508" s="3"/>
      <c r="G1508" s="3"/>
      <c r="H1508" s="3"/>
      <c r="I1508" s="3"/>
      <c r="J1508" s="3"/>
    </row>
    <row r="1509" spans="4:10" s="22" customFormat="1" x14ac:dyDescent="0.35">
      <c r="D1509" s="81" t="s">
        <v>580</v>
      </c>
      <c r="E1509" s="3"/>
      <c r="F1509" s="3"/>
      <c r="G1509" s="3"/>
      <c r="H1509" s="3"/>
      <c r="I1509" s="3"/>
      <c r="J1509" s="3"/>
    </row>
    <row r="1510" spans="4:10" s="22" customFormat="1" x14ac:dyDescent="0.35">
      <c r="D1510" s="3"/>
      <c r="E1510" s="3"/>
      <c r="F1510" s="3"/>
      <c r="G1510" s="3"/>
      <c r="H1510" s="3"/>
      <c r="I1510" s="3"/>
      <c r="J1510" s="3"/>
    </row>
    <row r="1511" spans="4:10" s="22" customFormat="1" x14ac:dyDescent="0.35">
      <c r="D1511" s="81" t="s">
        <v>581</v>
      </c>
      <c r="E1511" s="3"/>
      <c r="F1511" s="3"/>
      <c r="G1511" s="3"/>
      <c r="H1511" s="3"/>
      <c r="I1511" s="3"/>
      <c r="J1511" s="3"/>
    </row>
    <row r="1512" spans="4:10" s="22" customFormat="1" x14ac:dyDescent="0.35">
      <c r="D1512" s="3"/>
      <c r="E1512" s="3"/>
      <c r="F1512" s="3"/>
      <c r="G1512" s="3"/>
      <c r="H1512" s="3"/>
      <c r="I1512" s="3"/>
      <c r="J1512" s="3"/>
    </row>
    <row r="1513" spans="4:10" s="22" customFormat="1" x14ac:dyDescent="0.35">
      <c r="D1513" s="81" t="s">
        <v>582</v>
      </c>
      <c r="E1513" s="3"/>
      <c r="F1513" s="3"/>
      <c r="G1513" s="3"/>
      <c r="H1513" s="3"/>
      <c r="I1513" s="3"/>
      <c r="J1513" s="3"/>
    </row>
    <row r="1514" spans="4:10" s="22" customFormat="1" x14ac:dyDescent="0.35">
      <c r="D1514" s="3"/>
      <c r="E1514" s="3"/>
      <c r="F1514" s="3"/>
      <c r="G1514" s="3"/>
      <c r="H1514" s="3"/>
      <c r="I1514" s="3"/>
      <c r="J1514" s="3"/>
    </row>
    <row r="1515" spans="4:10" s="22" customFormat="1" x14ac:dyDescent="0.35">
      <c r="D1515" s="81" t="s">
        <v>583</v>
      </c>
      <c r="E1515" s="3"/>
      <c r="F1515" s="3"/>
      <c r="G1515" s="3"/>
      <c r="H1515" s="3"/>
      <c r="I1515" s="3"/>
      <c r="J1515" s="3"/>
    </row>
    <row r="1516" spans="4:10" s="22" customFormat="1" x14ac:dyDescent="0.35">
      <c r="D1516" s="3"/>
      <c r="E1516" s="3"/>
      <c r="F1516" s="3"/>
      <c r="G1516" s="3"/>
      <c r="H1516" s="3"/>
      <c r="I1516" s="3"/>
      <c r="J1516" s="3"/>
    </row>
    <row r="1517" spans="4:10" s="22" customFormat="1" x14ac:dyDescent="0.35">
      <c r="D1517" s="81" t="s">
        <v>584</v>
      </c>
      <c r="E1517" s="3"/>
      <c r="F1517" s="3"/>
      <c r="G1517" s="3"/>
      <c r="H1517" s="3"/>
      <c r="I1517" s="3"/>
      <c r="J1517" s="3"/>
    </row>
    <row r="1518" spans="4:10" s="22" customFormat="1" x14ac:dyDescent="0.35">
      <c r="D1518" s="3"/>
      <c r="E1518" s="3"/>
      <c r="F1518" s="3"/>
      <c r="G1518" s="3"/>
      <c r="H1518" s="3"/>
      <c r="I1518" s="3"/>
      <c r="J1518" s="3"/>
    </row>
    <row r="1519" spans="4:10" s="22" customFormat="1" x14ac:dyDescent="0.35">
      <c r="D1519" s="81" t="s">
        <v>585</v>
      </c>
      <c r="E1519" s="3"/>
      <c r="F1519" s="3"/>
      <c r="G1519" s="3"/>
      <c r="H1519" s="3"/>
      <c r="I1519" s="3"/>
      <c r="J1519" s="3"/>
    </row>
    <row r="1520" spans="4:10" s="22" customFormat="1" x14ac:dyDescent="0.35">
      <c r="D1520" s="3"/>
      <c r="E1520" s="3"/>
      <c r="F1520" s="3"/>
      <c r="G1520" s="3"/>
      <c r="H1520" s="3"/>
      <c r="I1520" s="3"/>
      <c r="J1520" s="3"/>
    </row>
    <row r="1521" spans="4:10" s="22" customFormat="1" x14ac:dyDescent="0.35">
      <c r="D1521" s="3" t="s">
        <v>369</v>
      </c>
      <c r="E1521" s="3"/>
      <c r="F1521" s="3"/>
      <c r="G1521" s="3"/>
      <c r="H1521" s="3"/>
      <c r="I1521" s="3"/>
      <c r="J1521" s="3"/>
    </row>
    <row r="1522" spans="4:10" s="22" customFormat="1" x14ac:dyDescent="0.35">
      <c r="D1522" s="3"/>
      <c r="E1522" s="3"/>
      <c r="F1522" s="3"/>
      <c r="G1522" s="3"/>
      <c r="H1522" s="3"/>
      <c r="I1522" s="3"/>
      <c r="J1522" s="3"/>
    </row>
    <row r="1523" spans="4:10" s="22" customFormat="1" x14ac:dyDescent="0.35">
      <c r="D1523" s="3" t="s">
        <v>370</v>
      </c>
      <c r="E1523" s="3"/>
      <c r="F1523" s="3"/>
      <c r="G1523" s="3"/>
      <c r="H1523" s="3"/>
      <c r="I1523" s="3"/>
      <c r="J1523" s="3"/>
    </row>
    <row r="1524" spans="4:10" s="22" customFormat="1" x14ac:dyDescent="0.35">
      <c r="D1524" s="3"/>
      <c r="E1524" s="3"/>
      <c r="F1524" s="3"/>
      <c r="G1524" s="3"/>
      <c r="H1524" s="3"/>
      <c r="I1524" s="3"/>
      <c r="J1524" s="3"/>
    </row>
    <row r="1525" spans="4:10" s="22" customFormat="1" x14ac:dyDescent="0.35">
      <c r="D1525" s="3" t="s">
        <v>371</v>
      </c>
      <c r="E1525" s="3"/>
      <c r="F1525" s="3"/>
      <c r="G1525" s="3"/>
      <c r="H1525" s="3"/>
      <c r="I1525" s="3"/>
      <c r="J1525" s="3"/>
    </row>
    <row r="1526" spans="4:10" s="22" customFormat="1" x14ac:dyDescent="0.35">
      <c r="D1526" s="3"/>
      <c r="E1526" s="3"/>
      <c r="F1526" s="3"/>
      <c r="G1526" s="3"/>
      <c r="H1526" s="3"/>
      <c r="I1526" s="3"/>
      <c r="J1526" s="3"/>
    </row>
    <row r="1527" spans="4:10" s="22" customFormat="1" x14ac:dyDescent="0.35">
      <c r="D1527" s="3" t="s">
        <v>372</v>
      </c>
      <c r="E1527" s="3"/>
      <c r="F1527" s="3"/>
      <c r="G1527" s="3"/>
      <c r="H1527" s="3"/>
      <c r="I1527" s="3"/>
      <c r="J1527" s="3"/>
    </row>
    <row r="1528" spans="4:10" s="22" customFormat="1" x14ac:dyDescent="0.35">
      <c r="D1528" s="3"/>
      <c r="E1528" s="3"/>
      <c r="F1528" s="3"/>
      <c r="G1528" s="3"/>
      <c r="H1528" s="3"/>
      <c r="I1528" s="3"/>
      <c r="J1528" s="3"/>
    </row>
    <row r="1529" spans="4:10" s="22" customFormat="1" x14ac:dyDescent="0.35">
      <c r="D1529" s="3" t="s">
        <v>373</v>
      </c>
      <c r="E1529" s="3"/>
      <c r="F1529" s="3"/>
      <c r="G1529" s="3"/>
      <c r="H1529" s="3"/>
      <c r="I1529" s="3"/>
      <c r="J1529" s="3"/>
    </row>
    <row r="1530" spans="4:10" s="22" customFormat="1" x14ac:dyDescent="0.35">
      <c r="D1530" s="3"/>
      <c r="E1530" s="3"/>
      <c r="F1530" s="3"/>
      <c r="G1530" s="3"/>
      <c r="H1530" s="3"/>
      <c r="I1530" s="3"/>
      <c r="J1530" s="3"/>
    </row>
    <row r="1531" spans="4:10" s="22" customFormat="1" x14ac:dyDescent="0.35">
      <c r="D1531" s="3" t="s">
        <v>374</v>
      </c>
      <c r="E1531" s="3"/>
      <c r="F1531" s="3"/>
      <c r="G1531" s="3"/>
      <c r="H1531" s="3"/>
      <c r="I1531" s="3"/>
      <c r="J1531" s="3"/>
    </row>
    <row r="1532" spans="4:10" s="22" customFormat="1" x14ac:dyDescent="0.35">
      <c r="D1532" s="3"/>
      <c r="E1532" s="3"/>
      <c r="F1532" s="3"/>
      <c r="G1532" s="3"/>
      <c r="H1532" s="3"/>
      <c r="I1532" s="3"/>
      <c r="J1532" s="3"/>
    </row>
    <row r="1533" spans="4:10" s="22" customFormat="1" x14ac:dyDescent="0.35">
      <c r="D1533" s="3"/>
      <c r="E1533" s="3"/>
      <c r="F1533" s="3"/>
      <c r="G1533" s="3"/>
      <c r="H1533" s="3"/>
      <c r="I1533" s="3"/>
      <c r="J1533" s="3"/>
    </row>
    <row r="1534" spans="4:10" s="22" customFormat="1" x14ac:dyDescent="0.35">
      <c r="D1534" s="3"/>
      <c r="E1534" s="3"/>
      <c r="F1534" s="3"/>
      <c r="G1534" s="3"/>
      <c r="H1534" s="3"/>
      <c r="I1534" s="3"/>
      <c r="J1534" s="3"/>
    </row>
    <row r="1535" spans="4:10" s="22" customFormat="1" x14ac:dyDescent="0.35">
      <c r="D1535" s="3"/>
      <c r="E1535" s="3"/>
      <c r="F1535" s="3"/>
      <c r="G1535" s="3"/>
      <c r="H1535" s="3"/>
      <c r="I1535" s="3"/>
      <c r="J1535" s="3"/>
    </row>
    <row r="1536" spans="4:10" s="22" customFormat="1" x14ac:dyDescent="0.35">
      <c r="D1536" s="3"/>
      <c r="E1536" s="3"/>
      <c r="F1536" s="3"/>
      <c r="G1536" s="3"/>
      <c r="H1536" s="3"/>
      <c r="I1536" s="3"/>
      <c r="J1536" s="3"/>
    </row>
    <row r="1537" spans="4:10" s="22" customFormat="1" x14ac:dyDescent="0.35">
      <c r="D1537" s="3"/>
      <c r="E1537" s="3"/>
      <c r="F1537" s="3"/>
      <c r="G1537" s="3"/>
      <c r="H1537" s="3"/>
      <c r="I1537" s="3"/>
      <c r="J1537" s="3"/>
    </row>
    <row r="1538" spans="4:10" s="22" customFormat="1" x14ac:dyDescent="0.35">
      <c r="D1538" s="3"/>
      <c r="E1538" s="3"/>
      <c r="F1538" s="3"/>
      <c r="G1538" s="3"/>
      <c r="H1538" s="3"/>
      <c r="I1538" s="3"/>
      <c r="J1538" s="3"/>
    </row>
    <row r="1539" spans="4:10" s="22" customFormat="1" x14ac:dyDescent="0.35">
      <c r="D1539" s="3"/>
      <c r="E1539" s="3"/>
      <c r="F1539" s="3"/>
      <c r="G1539" s="3"/>
      <c r="H1539" s="3"/>
      <c r="I1539" s="3"/>
      <c r="J1539" s="3"/>
    </row>
    <row r="1540" spans="4:10" s="22" customFormat="1" x14ac:dyDescent="0.35">
      <c r="D1540" s="3"/>
      <c r="E1540" s="3"/>
      <c r="F1540" s="3"/>
      <c r="G1540" s="3"/>
      <c r="H1540" s="3"/>
      <c r="I1540" s="3"/>
      <c r="J1540" s="3"/>
    </row>
    <row r="1541" spans="4:10" s="22" customFormat="1" x14ac:dyDescent="0.35">
      <c r="D1541" s="3"/>
      <c r="E1541" s="3"/>
      <c r="F1541" s="3"/>
      <c r="G1541" s="3"/>
      <c r="H1541" s="3"/>
      <c r="I1541" s="3"/>
      <c r="J1541" s="3"/>
    </row>
    <row r="1542" spans="4:10" s="22" customFormat="1" x14ac:dyDescent="0.35">
      <c r="D1542" s="3"/>
      <c r="E1542" s="3"/>
      <c r="F1542" s="3"/>
      <c r="G1542" s="3"/>
      <c r="H1542" s="3"/>
      <c r="I1542" s="3"/>
      <c r="J1542" s="3"/>
    </row>
    <row r="1543" spans="4:10" s="22" customFormat="1" x14ac:dyDescent="0.35">
      <c r="D1543" s="3"/>
      <c r="E1543" s="3"/>
      <c r="F1543" s="3"/>
      <c r="G1543" s="3"/>
      <c r="H1543" s="3"/>
      <c r="I1543" s="3"/>
      <c r="J1543" s="3"/>
    </row>
    <row r="1544" spans="4:10" s="22" customFormat="1" x14ac:dyDescent="0.35">
      <c r="D1544" s="3"/>
      <c r="E1544" s="3"/>
      <c r="F1544" s="3"/>
      <c r="G1544" s="3"/>
      <c r="H1544" s="3"/>
      <c r="I1544" s="3"/>
      <c r="J1544" s="3"/>
    </row>
    <row r="1545" spans="4:10" s="22" customFormat="1" x14ac:dyDescent="0.35">
      <c r="D1545" s="3"/>
      <c r="E1545" s="3"/>
      <c r="F1545" s="3"/>
      <c r="G1545" s="3"/>
      <c r="H1545" s="3"/>
      <c r="I1545" s="3"/>
      <c r="J1545" s="3"/>
    </row>
    <row r="1546" spans="4:10" s="22" customFormat="1" x14ac:dyDescent="0.35">
      <c r="D1546" s="3"/>
      <c r="E1546" s="3"/>
      <c r="F1546" s="3"/>
      <c r="G1546" s="3"/>
      <c r="H1546" s="3"/>
      <c r="I1546" s="3"/>
      <c r="J1546" s="3"/>
    </row>
    <row r="1547" spans="4:10" s="22" customFormat="1" x14ac:dyDescent="0.35">
      <c r="D1547" s="3"/>
      <c r="E1547" s="3"/>
      <c r="F1547" s="3"/>
      <c r="G1547" s="3"/>
      <c r="H1547" s="3"/>
      <c r="I1547" s="3"/>
      <c r="J1547" s="3"/>
    </row>
    <row r="1548" spans="4:10" s="22" customFormat="1" x14ac:dyDescent="0.35">
      <c r="D1548" s="3"/>
      <c r="E1548" s="3"/>
      <c r="F1548" s="3"/>
      <c r="G1548" s="3"/>
      <c r="H1548" s="3"/>
      <c r="I1548" s="3"/>
      <c r="J1548" s="3"/>
    </row>
    <row r="1549" spans="4:10" s="22" customFormat="1" x14ac:dyDescent="0.35">
      <c r="D1549" s="3"/>
      <c r="E1549" s="3"/>
      <c r="F1549" s="3"/>
      <c r="G1549" s="3"/>
      <c r="H1549" s="3"/>
      <c r="I1549" s="3"/>
      <c r="J1549" s="3"/>
    </row>
    <row r="1550" spans="4:10" s="22" customFormat="1" x14ac:dyDescent="0.35">
      <c r="D1550" s="3"/>
      <c r="E1550" s="3"/>
      <c r="F1550" s="3"/>
      <c r="G1550" s="3"/>
      <c r="H1550" s="3"/>
      <c r="I1550" s="3"/>
      <c r="J1550" s="3"/>
    </row>
    <row r="1551" spans="4:10" s="22" customFormat="1" x14ac:dyDescent="0.35">
      <c r="D1551" s="3"/>
      <c r="E1551" s="3"/>
      <c r="F1551" s="3"/>
      <c r="G1551" s="3"/>
      <c r="H1551" s="3"/>
      <c r="I1551" s="3"/>
      <c r="J1551" s="3"/>
    </row>
    <row r="1552" spans="4:10" s="22" customFormat="1" x14ac:dyDescent="0.35">
      <c r="D1552" s="3"/>
      <c r="E1552" s="3"/>
      <c r="F1552" s="3"/>
      <c r="G1552" s="3"/>
      <c r="H1552" s="3"/>
      <c r="I1552" s="3"/>
      <c r="J1552" s="3"/>
    </row>
    <row r="1553" spans="4:10" s="22" customFormat="1" x14ac:dyDescent="0.35">
      <c r="D1553" s="3"/>
      <c r="E1553" s="3"/>
      <c r="F1553" s="3"/>
      <c r="G1553" s="3"/>
      <c r="H1553" s="3"/>
      <c r="I1553" s="3"/>
      <c r="J1553" s="3"/>
    </row>
    <row r="1554" spans="4:10" s="22" customFormat="1" x14ac:dyDescent="0.35">
      <c r="D1554" s="3"/>
      <c r="E1554" s="3"/>
      <c r="F1554" s="3"/>
      <c r="G1554" s="3"/>
      <c r="H1554" s="3"/>
      <c r="I1554" s="3"/>
      <c r="J1554" s="3"/>
    </row>
    <row r="1555" spans="4:10" s="22" customFormat="1" x14ac:dyDescent="0.35">
      <c r="D1555" s="3"/>
      <c r="E1555" s="3"/>
      <c r="F1555" s="3"/>
      <c r="G1555" s="3"/>
      <c r="H1555" s="3"/>
      <c r="I1555" s="3"/>
      <c r="J1555" s="3"/>
    </row>
    <row r="1556" spans="4:10" s="22" customFormat="1" x14ac:dyDescent="0.35">
      <c r="D1556" s="3"/>
      <c r="E1556" s="3"/>
      <c r="F1556" s="3"/>
      <c r="G1556" s="3"/>
      <c r="H1556" s="3"/>
      <c r="I1556" s="3"/>
      <c r="J1556" s="3"/>
    </row>
    <row r="1557" spans="4:10" s="22" customFormat="1" x14ac:dyDescent="0.35">
      <c r="D1557" s="3"/>
      <c r="E1557" s="3"/>
      <c r="F1557" s="3"/>
      <c r="G1557" s="3"/>
      <c r="H1557" s="3"/>
      <c r="I1557" s="3"/>
      <c r="J1557" s="3"/>
    </row>
    <row r="1558" spans="4:10" s="22" customFormat="1" x14ac:dyDescent="0.35">
      <c r="D1558" s="3"/>
      <c r="E1558" s="3"/>
      <c r="F1558" s="3"/>
      <c r="G1558" s="3"/>
      <c r="H1558" s="3"/>
      <c r="I1558" s="3"/>
      <c r="J1558" s="3"/>
    </row>
    <row r="1559" spans="4:10" s="22" customFormat="1" x14ac:dyDescent="0.35">
      <c r="D1559" s="3"/>
      <c r="E1559" s="3"/>
      <c r="F1559" s="3"/>
      <c r="G1559" s="3"/>
      <c r="H1559" s="3"/>
      <c r="I1559" s="3"/>
      <c r="J1559" s="3"/>
    </row>
    <row r="1560" spans="4:10" s="22" customFormat="1" x14ac:dyDescent="0.35">
      <c r="D1560" s="3"/>
      <c r="E1560" s="3"/>
      <c r="F1560" s="3"/>
      <c r="G1560" s="3"/>
      <c r="H1560" s="3"/>
      <c r="I1560" s="3"/>
      <c r="J1560" s="3"/>
    </row>
    <row r="1561" spans="4:10" s="22" customFormat="1" x14ac:dyDescent="0.35">
      <c r="D1561" s="3"/>
      <c r="E1561" s="3"/>
      <c r="F1561" s="3"/>
      <c r="G1561" s="3"/>
      <c r="H1561" s="3"/>
      <c r="I1561" s="3"/>
      <c r="J1561" s="3"/>
    </row>
    <row r="1562" spans="4:10" s="22" customFormat="1" x14ac:dyDescent="0.35">
      <c r="D1562" s="3"/>
      <c r="E1562" s="3"/>
      <c r="F1562" s="3"/>
      <c r="G1562" s="3"/>
      <c r="H1562" s="3"/>
      <c r="I1562" s="3"/>
      <c r="J1562" s="3"/>
    </row>
    <row r="1563" spans="4:10" s="22" customFormat="1" x14ac:dyDescent="0.35">
      <c r="D1563" s="3"/>
      <c r="E1563" s="3"/>
      <c r="F1563" s="3"/>
      <c r="G1563" s="3"/>
      <c r="H1563" s="3"/>
      <c r="I1563" s="3"/>
      <c r="J1563" s="3"/>
    </row>
    <row r="1564" spans="4:10" s="22" customFormat="1" x14ac:dyDescent="0.35">
      <c r="D1564" s="3"/>
      <c r="E1564" s="3"/>
      <c r="F1564" s="3"/>
      <c r="G1564" s="3"/>
      <c r="H1564" s="3"/>
      <c r="I1564" s="3"/>
      <c r="J1564" s="3"/>
    </row>
    <row r="1565" spans="4:10" s="22" customFormat="1" x14ac:dyDescent="0.35">
      <c r="D1565" s="3"/>
      <c r="E1565" s="3"/>
      <c r="F1565" s="3"/>
      <c r="G1565" s="3"/>
      <c r="H1565" s="3"/>
      <c r="I1565" s="3"/>
      <c r="J1565" s="3"/>
    </row>
    <row r="1566" spans="4:10" s="22" customFormat="1" x14ac:dyDescent="0.35">
      <c r="D1566" s="3"/>
      <c r="E1566" s="3"/>
      <c r="F1566" s="3"/>
      <c r="G1566" s="3"/>
      <c r="H1566" s="3"/>
      <c r="I1566" s="3"/>
      <c r="J1566" s="3"/>
    </row>
    <row r="1567" spans="4:10" s="22" customFormat="1" x14ac:dyDescent="0.35">
      <c r="D1567" s="3"/>
      <c r="E1567" s="3"/>
      <c r="F1567" s="3"/>
      <c r="G1567" s="3"/>
      <c r="H1567" s="3"/>
      <c r="I1567" s="3"/>
      <c r="J1567" s="3"/>
    </row>
    <row r="1568" spans="4:10" s="22" customFormat="1" x14ac:dyDescent="0.35">
      <c r="D1568" s="3"/>
      <c r="E1568" s="3"/>
      <c r="F1568" s="3"/>
      <c r="G1568" s="3"/>
      <c r="H1568" s="3"/>
      <c r="I1568" s="3"/>
      <c r="J1568" s="3"/>
    </row>
    <row r="1569" spans="4:10" s="22" customFormat="1" x14ac:dyDescent="0.35">
      <c r="D1569" s="3"/>
      <c r="E1569" s="3"/>
      <c r="F1569" s="3"/>
      <c r="G1569" s="3"/>
      <c r="H1569" s="3"/>
      <c r="I1569" s="3"/>
      <c r="J1569" s="3"/>
    </row>
    <row r="1570" spans="4:10" s="22" customFormat="1" x14ac:dyDescent="0.35">
      <c r="D1570" s="3"/>
      <c r="E1570" s="3"/>
      <c r="F1570" s="3"/>
      <c r="G1570" s="3"/>
      <c r="H1570" s="3"/>
      <c r="I1570" s="3"/>
      <c r="J1570" s="3"/>
    </row>
    <row r="1571" spans="4:10" s="22" customFormat="1" x14ac:dyDescent="0.35">
      <c r="D1571" s="3"/>
      <c r="E1571" s="3"/>
      <c r="F1571" s="3"/>
      <c r="G1571" s="3"/>
      <c r="H1571" s="3"/>
      <c r="I1571" s="3"/>
      <c r="J1571" s="3"/>
    </row>
    <row r="1572" spans="4:10" s="22" customFormat="1" x14ac:dyDescent="0.35">
      <c r="D1572" s="3"/>
      <c r="E1572" s="3"/>
      <c r="F1572" s="3"/>
      <c r="G1572" s="3"/>
      <c r="H1572" s="3"/>
      <c r="I1572" s="3"/>
      <c r="J1572" s="3"/>
    </row>
    <row r="1573" spans="4:10" s="22" customFormat="1" x14ac:dyDescent="0.35">
      <c r="D1573" s="3"/>
      <c r="E1573" s="3"/>
      <c r="F1573" s="3"/>
      <c r="G1573" s="3"/>
      <c r="H1573" s="3"/>
      <c r="I1573" s="3"/>
      <c r="J1573" s="3"/>
    </row>
    <row r="1574" spans="4:10" s="22" customFormat="1" x14ac:dyDescent="0.35">
      <c r="D1574" s="3"/>
      <c r="E1574" s="3"/>
      <c r="F1574" s="3"/>
      <c r="G1574" s="3"/>
      <c r="H1574" s="3"/>
      <c r="I1574" s="3"/>
      <c r="J1574" s="3"/>
    </row>
    <row r="1575" spans="4:10" s="22" customFormat="1" x14ac:dyDescent="0.35">
      <c r="D1575" s="3"/>
      <c r="E1575" s="3"/>
      <c r="F1575" s="3"/>
      <c r="G1575" s="3"/>
      <c r="H1575" s="3"/>
      <c r="I1575" s="3"/>
      <c r="J1575" s="3"/>
    </row>
    <row r="1576" spans="4:10" s="22" customFormat="1" x14ac:dyDescent="0.35">
      <c r="D1576" s="3"/>
      <c r="E1576" s="3"/>
      <c r="F1576" s="3"/>
      <c r="G1576" s="3"/>
      <c r="H1576" s="3"/>
      <c r="I1576" s="3"/>
      <c r="J1576" s="3"/>
    </row>
    <row r="1577" spans="4:10" s="22" customFormat="1" x14ac:dyDescent="0.35">
      <c r="D1577" s="3"/>
      <c r="E1577" s="3"/>
      <c r="F1577" s="3"/>
      <c r="G1577" s="3"/>
      <c r="H1577" s="3"/>
      <c r="I1577" s="3"/>
      <c r="J1577" s="3"/>
    </row>
    <row r="1578" spans="4:10" s="22" customFormat="1" x14ac:dyDescent="0.35">
      <c r="D1578" s="3"/>
      <c r="E1578" s="3"/>
      <c r="F1578" s="3"/>
      <c r="G1578" s="3"/>
      <c r="H1578" s="3"/>
      <c r="I1578" s="3"/>
      <c r="J1578" s="3"/>
    </row>
    <row r="1579" spans="4:10" s="22" customFormat="1" x14ac:dyDescent="0.35">
      <c r="D1579" s="3"/>
      <c r="E1579" s="3"/>
      <c r="F1579" s="3"/>
      <c r="G1579" s="3"/>
      <c r="H1579" s="3"/>
      <c r="I1579" s="3"/>
      <c r="J1579" s="3"/>
    </row>
    <row r="1580" spans="4:10" s="22" customFormat="1" x14ac:dyDescent="0.35">
      <c r="D1580" s="3"/>
      <c r="E1580" s="3"/>
      <c r="F1580" s="3"/>
      <c r="G1580" s="3"/>
      <c r="H1580" s="3"/>
      <c r="I1580" s="3"/>
      <c r="J1580" s="3"/>
    </row>
    <row r="1581" spans="4:10" s="22" customFormat="1" x14ac:dyDescent="0.35">
      <c r="D1581" s="3"/>
      <c r="E1581" s="3"/>
      <c r="F1581" s="3"/>
      <c r="G1581" s="3"/>
      <c r="H1581" s="3"/>
      <c r="I1581" s="3"/>
      <c r="J1581" s="3"/>
    </row>
    <row r="1582" spans="4:10" s="22" customFormat="1" x14ac:dyDescent="0.35">
      <c r="D1582" s="3"/>
      <c r="E1582" s="3"/>
      <c r="F1582" s="3"/>
      <c r="G1582" s="3"/>
      <c r="H1582" s="3"/>
      <c r="I1582" s="3"/>
      <c r="J1582" s="3"/>
    </row>
    <row r="1583" spans="4:10" s="22" customFormat="1" x14ac:dyDescent="0.35">
      <c r="D1583" s="3"/>
      <c r="E1583" s="3"/>
      <c r="F1583" s="3"/>
      <c r="G1583" s="3"/>
      <c r="H1583" s="3"/>
      <c r="I1583" s="3"/>
      <c r="J1583" s="3"/>
    </row>
    <row r="1584" spans="4:10" s="22" customFormat="1" x14ac:dyDescent="0.35">
      <c r="D1584" s="3"/>
      <c r="E1584" s="3"/>
      <c r="F1584" s="3"/>
      <c r="G1584" s="3"/>
      <c r="H1584" s="3"/>
      <c r="I1584" s="3"/>
      <c r="J1584" s="3"/>
    </row>
    <row r="1585" spans="4:10" s="22" customFormat="1" x14ac:dyDescent="0.35">
      <c r="D1585" s="3"/>
      <c r="E1585" s="3"/>
      <c r="F1585" s="3"/>
      <c r="G1585" s="3"/>
      <c r="H1585" s="3"/>
      <c r="I1585" s="3"/>
      <c r="J1585" s="3"/>
    </row>
    <row r="1586" spans="4:10" s="22" customFormat="1" x14ac:dyDescent="0.35">
      <c r="D1586" s="3"/>
      <c r="E1586" s="3"/>
      <c r="F1586" s="3"/>
      <c r="G1586" s="3"/>
      <c r="H1586" s="3"/>
      <c r="I1586" s="3"/>
      <c r="J1586" s="3"/>
    </row>
    <row r="1587" spans="4:10" s="22" customFormat="1" x14ac:dyDescent="0.35">
      <c r="D1587" s="3"/>
      <c r="E1587" s="3"/>
      <c r="F1587" s="3"/>
      <c r="G1587" s="3"/>
      <c r="H1587" s="3"/>
      <c r="I1587" s="3"/>
      <c r="J1587" s="3"/>
    </row>
    <row r="1588" spans="4:10" s="22" customFormat="1" x14ac:dyDescent="0.35">
      <c r="D1588" s="3"/>
      <c r="E1588" s="3"/>
      <c r="F1588" s="3"/>
      <c r="G1588" s="3"/>
      <c r="H1588" s="3"/>
      <c r="I1588" s="3"/>
      <c r="J1588" s="3"/>
    </row>
    <row r="1589" spans="4:10" s="22" customFormat="1" x14ac:dyDescent="0.35">
      <c r="D1589" s="3"/>
      <c r="E1589" s="3"/>
      <c r="F1589" s="3"/>
      <c r="G1589" s="3"/>
      <c r="H1589" s="3"/>
      <c r="I1589" s="3"/>
      <c r="J1589" s="3"/>
    </row>
    <row r="1590" spans="4:10" s="22" customFormat="1" x14ac:dyDescent="0.35">
      <c r="D1590" s="3"/>
      <c r="E1590" s="3"/>
      <c r="F1590" s="3"/>
      <c r="G1590" s="3"/>
      <c r="H1590" s="3"/>
      <c r="I1590" s="3"/>
      <c r="J1590" s="3"/>
    </row>
    <row r="1591" spans="4:10" s="22" customFormat="1" x14ac:dyDescent="0.35">
      <c r="D1591" s="3"/>
      <c r="E1591" s="3"/>
      <c r="F1591" s="3"/>
      <c r="G1591" s="3"/>
      <c r="H1591" s="3"/>
      <c r="I1591" s="3"/>
      <c r="J1591" s="3"/>
    </row>
    <row r="1592" spans="4:10" s="22" customFormat="1" x14ac:dyDescent="0.35">
      <c r="D1592" s="3"/>
      <c r="E1592" s="3"/>
      <c r="F1592" s="3"/>
      <c r="G1592" s="3"/>
      <c r="H1592" s="3"/>
      <c r="I1592" s="3"/>
      <c r="J1592" s="3"/>
    </row>
    <row r="1593" spans="4:10" s="22" customFormat="1" x14ac:dyDescent="0.35">
      <c r="D1593" s="3"/>
      <c r="E1593" s="3"/>
      <c r="F1593" s="3"/>
      <c r="G1593" s="3"/>
      <c r="H1593" s="3"/>
      <c r="I1593" s="3"/>
      <c r="J1593" s="3"/>
    </row>
    <row r="1594" spans="4:10" s="22" customFormat="1" x14ac:dyDescent="0.35">
      <c r="D1594" s="3"/>
      <c r="E1594" s="3"/>
      <c r="F1594" s="3"/>
      <c r="G1594" s="3"/>
      <c r="H1594" s="3"/>
      <c r="I1594" s="3"/>
      <c r="J1594" s="3"/>
    </row>
    <row r="1595" spans="4:10" s="22" customFormat="1" x14ac:dyDescent="0.35">
      <c r="D1595" s="3"/>
      <c r="E1595" s="3"/>
      <c r="F1595" s="3"/>
      <c r="G1595" s="3"/>
      <c r="H1595" s="3"/>
      <c r="I1595" s="3"/>
      <c r="J1595" s="3"/>
    </row>
    <row r="1596" spans="4:10" s="22" customFormat="1" x14ac:dyDescent="0.35">
      <c r="D1596" s="3"/>
      <c r="E1596" s="3"/>
      <c r="F1596" s="3"/>
      <c r="G1596" s="3"/>
      <c r="H1596" s="3"/>
      <c r="I1596" s="3"/>
      <c r="J1596" s="3"/>
    </row>
    <row r="1597" spans="4:10" s="22" customFormat="1" x14ac:dyDescent="0.35">
      <c r="D1597" s="3"/>
      <c r="E1597" s="3"/>
      <c r="F1597" s="3"/>
      <c r="G1597" s="3"/>
      <c r="H1597" s="3"/>
      <c r="I1597" s="3"/>
      <c r="J1597" s="3"/>
    </row>
    <row r="1598" spans="4:10" s="22" customFormat="1" x14ac:dyDescent="0.35">
      <c r="D1598" s="3"/>
      <c r="E1598" s="3"/>
      <c r="F1598" s="3"/>
      <c r="G1598" s="3"/>
      <c r="H1598" s="3"/>
      <c r="I1598" s="3"/>
      <c r="J1598" s="3"/>
    </row>
    <row r="1599" spans="4:10" s="22" customFormat="1" x14ac:dyDescent="0.35">
      <c r="D1599" s="3"/>
      <c r="E1599" s="3"/>
      <c r="F1599" s="3"/>
      <c r="G1599" s="3"/>
      <c r="H1599" s="3"/>
      <c r="I1599" s="3"/>
      <c r="J1599" s="3"/>
    </row>
    <row r="1600" spans="4:10" s="22" customFormat="1" x14ac:dyDescent="0.35">
      <c r="D1600" s="3"/>
      <c r="E1600" s="3"/>
      <c r="F1600" s="3"/>
      <c r="G1600" s="3"/>
      <c r="H1600" s="3"/>
      <c r="I1600" s="3"/>
      <c r="J1600" s="3"/>
    </row>
    <row r="1601" spans="4:10" s="22" customFormat="1" x14ac:dyDescent="0.35">
      <c r="D1601" s="3"/>
      <c r="E1601" s="3"/>
      <c r="F1601" s="3"/>
      <c r="G1601" s="3"/>
      <c r="H1601" s="3"/>
      <c r="I1601" s="3"/>
      <c r="J1601" s="3"/>
    </row>
    <row r="1602" spans="4:10" s="22" customFormat="1" x14ac:dyDescent="0.35">
      <c r="D1602" s="3"/>
      <c r="E1602" s="3"/>
      <c r="F1602" s="3"/>
      <c r="G1602" s="3"/>
      <c r="H1602" s="3"/>
      <c r="I1602" s="3"/>
      <c r="J1602" s="3"/>
    </row>
    <row r="1603" spans="4:10" s="22" customFormat="1" x14ac:dyDescent="0.35">
      <c r="D1603" s="3"/>
      <c r="E1603" s="3"/>
      <c r="F1603" s="3"/>
      <c r="G1603" s="3"/>
      <c r="H1603" s="3"/>
      <c r="I1603" s="3"/>
      <c r="J1603" s="3"/>
    </row>
    <row r="1604" spans="4:10" s="22" customFormat="1" x14ac:dyDescent="0.35">
      <c r="D1604" s="3"/>
      <c r="E1604" s="3"/>
      <c r="F1604" s="3"/>
      <c r="G1604" s="3"/>
      <c r="H1604" s="3"/>
      <c r="I1604" s="3"/>
      <c r="J1604" s="3"/>
    </row>
    <row r="1605" spans="4:10" s="22" customFormat="1" x14ac:dyDescent="0.35">
      <c r="D1605" s="3"/>
      <c r="E1605" s="3"/>
      <c r="F1605" s="3"/>
      <c r="G1605" s="3"/>
      <c r="H1605" s="3"/>
      <c r="I1605" s="3"/>
      <c r="J1605" s="3"/>
    </row>
    <row r="1606" spans="4:10" s="22" customFormat="1" x14ac:dyDescent="0.35">
      <c r="D1606" s="3"/>
      <c r="E1606" s="3"/>
      <c r="F1606" s="3"/>
      <c r="G1606" s="3"/>
      <c r="H1606" s="3"/>
      <c r="I1606" s="3"/>
      <c r="J1606" s="3"/>
    </row>
    <row r="1607" spans="4:10" s="22" customFormat="1" x14ac:dyDescent="0.35">
      <c r="D1607" s="3"/>
      <c r="E1607" s="3"/>
      <c r="F1607" s="3"/>
      <c r="G1607" s="3"/>
      <c r="H1607" s="3"/>
      <c r="I1607" s="3"/>
      <c r="J1607" s="3"/>
    </row>
    <row r="1608" spans="4:10" s="22" customFormat="1" x14ac:dyDescent="0.35">
      <c r="D1608" s="3"/>
      <c r="E1608" s="3"/>
      <c r="F1608" s="3"/>
      <c r="G1608" s="3"/>
      <c r="H1608" s="3"/>
      <c r="I1608" s="3"/>
      <c r="J1608" s="3"/>
    </row>
    <row r="1609" spans="4:10" s="22" customFormat="1" x14ac:dyDescent="0.35">
      <c r="D1609" s="3"/>
      <c r="E1609" s="3"/>
      <c r="F1609" s="3"/>
      <c r="G1609" s="3"/>
      <c r="H1609" s="3"/>
      <c r="I1609" s="3"/>
      <c r="J1609" s="3"/>
    </row>
    <row r="1610" spans="4:10" s="22" customFormat="1" x14ac:dyDescent="0.35">
      <c r="D1610" s="3"/>
      <c r="E1610" s="3"/>
      <c r="F1610" s="3"/>
      <c r="G1610" s="3"/>
      <c r="H1610" s="3"/>
      <c r="I1610" s="3"/>
      <c r="J1610" s="3"/>
    </row>
    <row r="1611" spans="4:10" s="22" customFormat="1" x14ac:dyDescent="0.35">
      <c r="D1611" s="3"/>
      <c r="E1611" s="3"/>
      <c r="F1611" s="3"/>
      <c r="G1611" s="3"/>
      <c r="H1611" s="3"/>
      <c r="I1611" s="3"/>
      <c r="J1611" s="3"/>
    </row>
    <row r="1612" spans="4:10" s="22" customFormat="1" x14ac:dyDescent="0.35">
      <c r="D1612" s="3"/>
      <c r="E1612" s="3"/>
      <c r="F1612" s="3"/>
      <c r="G1612" s="3"/>
      <c r="H1612" s="3"/>
      <c r="I1612" s="3"/>
      <c r="J1612" s="3"/>
    </row>
    <row r="1613" spans="4:10" s="22" customFormat="1" x14ac:dyDescent="0.35">
      <c r="D1613" s="3"/>
      <c r="E1613" s="3"/>
      <c r="F1613" s="3"/>
      <c r="G1613" s="3"/>
      <c r="H1613" s="3"/>
      <c r="I1613" s="3"/>
      <c r="J1613" s="3"/>
    </row>
    <row r="1614" spans="4:10" s="22" customFormat="1" x14ac:dyDescent="0.35">
      <c r="D1614" s="3"/>
      <c r="E1614" s="3"/>
      <c r="F1614" s="3"/>
      <c r="G1614" s="3"/>
      <c r="H1614" s="3"/>
      <c r="I1614" s="3"/>
      <c r="J1614" s="3"/>
    </row>
    <row r="1615" spans="4:10" s="22" customFormat="1" x14ac:dyDescent="0.35">
      <c r="D1615" s="3"/>
      <c r="E1615" s="3"/>
      <c r="F1615" s="3"/>
      <c r="G1615" s="3"/>
      <c r="H1615" s="3"/>
      <c r="I1615" s="3"/>
      <c r="J1615" s="3"/>
    </row>
    <row r="1616" spans="4:10" s="22" customFormat="1" x14ac:dyDescent="0.35">
      <c r="D1616" s="3"/>
      <c r="E1616" s="3"/>
      <c r="F1616" s="3"/>
      <c r="G1616" s="3"/>
      <c r="H1616" s="3"/>
      <c r="I1616" s="3"/>
      <c r="J1616" s="3"/>
    </row>
    <row r="1617" spans="4:10" s="22" customFormat="1" x14ac:dyDescent="0.35">
      <c r="D1617" s="3"/>
      <c r="E1617" s="3"/>
      <c r="F1617" s="3"/>
      <c r="G1617" s="3"/>
      <c r="H1617" s="3"/>
      <c r="I1617" s="3"/>
      <c r="J1617" s="3"/>
    </row>
    <row r="1618" spans="4:10" s="22" customFormat="1" x14ac:dyDescent="0.35">
      <c r="D1618" s="3"/>
      <c r="E1618" s="3"/>
      <c r="F1618" s="3"/>
      <c r="G1618" s="3"/>
      <c r="H1618" s="3"/>
      <c r="I1618" s="3"/>
      <c r="J1618" s="3"/>
    </row>
    <row r="1619" spans="4:10" s="22" customFormat="1" x14ac:dyDescent="0.35">
      <c r="D1619" s="3"/>
      <c r="E1619" s="3"/>
      <c r="F1619" s="3"/>
      <c r="G1619" s="3"/>
      <c r="H1619" s="3"/>
      <c r="I1619" s="3"/>
      <c r="J1619" s="3"/>
    </row>
    <row r="1620" spans="4:10" s="22" customFormat="1" x14ac:dyDescent="0.35">
      <c r="D1620" s="3"/>
      <c r="E1620" s="3"/>
      <c r="F1620" s="3"/>
      <c r="G1620" s="3"/>
      <c r="H1620" s="3"/>
      <c r="I1620" s="3"/>
      <c r="J1620" s="3"/>
    </row>
    <row r="1621" spans="4:10" s="22" customFormat="1" x14ac:dyDescent="0.35">
      <c r="D1621" s="3"/>
      <c r="E1621" s="3"/>
      <c r="F1621" s="3"/>
      <c r="G1621" s="3"/>
      <c r="H1621" s="3"/>
      <c r="I1621" s="3"/>
      <c r="J1621" s="3"/>
    </row>
    <row r="1622" spans="4:10" s="22" customFormat="1" x14ac:dyDescent="0.35">
      <c r="D1622" s="3"/>
      <c r="E1622" s="3"/>
      <c r="F1622" s="3"/>
      <c r="G1622" s="3"/>
      <c r="H1622" s="3"/>
      <c r="I1622" s="3"/>
      <c r="J1622" s="3"/>
    </row>
    <row r="1623" spans="4:10" s="22" customFormat="1" x14ac:dyDescent="0.35">
      <c r="D1623" s="3"/>
      <c r="E1623" s="3"/>
      <c r="F1623" s="3"/>
      <c r="G1623" s="3"/>
      <c r="H1623" s="3"/>
      <c r="I1623" s="3"/>
      <c r="J1623" s="3"/>
    </row>
    <row r="1624" spans="4:10" s="22" customFormat="1" x14ac:dyDescent="0.35">
      <c r="D1624" s="3"/>
      <c r="E1624" s="3"/>
      <c r="F1624" s="3"/>
      <c r="G1624" s="3"/>
      <c r="H1624" s="3"/>
      <c r="I1624" s="3"/>
      <c r="J1624" s="3"/>
    </row>
    <row r="1625" spans="4:10" s="22" customFormat="1" x14ac:dyDescent="0.35">
      <c r="D1625" s="3"/>
      <c r="E1625" s="3"/>
      <c r="F1625" s="3"/>
      <c r="G1625" s="3"/>
      <c r="H1625" s="3"/>
      <c r="I1625" s="3"/>
      <c r="J1625" s="3"/>
    </row>
    <row r="1626" spans="4:10" s="22" customFormat="1" x14ac:dyDescent="0.35">
      <c r="D1626" s="3"/>
      <c r="E1626" s="3"/>
      <c r="F1626" s="3"/>
      <c r="G1626" s="3"/>
      <c r="H1626" s="3"/>
      <c r="I1626" s="3"/>
      <c r="J1626" s="3"/>
    </row>
    <row r="1627" spans="4:10" s="22" customFormat="1" x14ac:dyDescent="0.35">
      <c r="D1627" s="3"/>
      <c r="E1627" s="3"/>
      <c r="F1627" s="3"/>
      <c r="G1627" s="3"/>
      <c r="H1627" s="3"/>
      <c r="I1627" s="3"/>
      <c r="J1627" s="3"/>
    </row>
    <row r="1628" spans="4:10" s="22" customFormat="1" x14ac:dyDescent="0.35">
      <c r="D1628" s="3"/>
      <c r="E1628" s="3"/>
      <c r="F1628" s="3"/>
      <c r="G1628" s="3"/>
      <c r="H1628" s="3"/>
      <c r="I1628" s="3"/>
      <c r="J1628" s="3"/>
    </row>
    <row r="1629" spans="4:10" s="22" customFormat="1" x14ac:dyDescent="0.35">
      <c r="D1629" s="3"/>
      <c r="E1629" s="3"/>
      <c r="F1629" s="3"/>
      <c r="G1629" s="3"/>
      <c r="H1629" s="3"/>
      <c r="I1629" s="3"/>
      <c r="J1629" s="3"/>
    </row>
    <row r="1630" spans="4:10" s="22" customFormat="1" x14ac:dyDescent="0.35">
      <c r="D1630" s="3"/>
      <c r="E1630" s="3"/>
      <c r="F1630" s="3"/>
      <c r="G1630" s="3"/>
      <c r="H1630" s="3"/>
      <c r="I1630" s="3"/>
      <c r="J1630" s="3"/>
    </row>
    <row r="1631" spans="4:10" s="22" customFormat="1" x14ac:dyDescent="0.35">
      <c r="D1631" s="3"/>
      <c r="E1631" s="3"/>
      <c r="F1631" s="3"/>
      <c r="G1631" s="3"/>
      <c r="H1631" s="3"/>
      <c r="I1631" s="3"/>
      <c r="J1631" s="3"/>
    </row>
    <row r="1632" spans="4:10" s="22" customFormat="1" x14ac:dyDescent="0.35">
      <c r="D1632" s="3"/>
      <c r="E1632" s="3"/>
      <c r="F1632" s="3"/>
      <c r="G1632" s="3"/>
      <c r="H1632" s="3"/>
      <c r="I1632" s="3"/>
      <c r="J1632" s="3"/>
    </row>
    <row r="1633" spans="4:10" s="22" customFormat="1" x14ac:dyDescent="0.35">
      <c r="D1633" s="3"/>
      <c r="E1633" s="3"/>
      <c r="F1633" s="3"/>
      <c r="G1633" s="3"/>
      <c r="H1633" s="3"/>
      <c r="I1633" s="3"/>
      <c r="J1633" s="3"/>
    </row>
    <row r="1634" spans="4:10" s="22" customFormat="1" x14ac:dyDescent="0.35">
      <c r="D1634" s="3"/>
      <c r="E1634" s="3"/>
      <c r="F1634" s="3"/>
      <c r="G1634" s="3"/>
      <c r="H1634" s="3"/>
      <c r="I1634" s="3"/>
      <c r="J1634" s="3"/>
    </row>
    <row r="1635" spans="4:10" s="22" customFormat="1" x14ac:dyDescent="0.35">
      <c r="D1635" s="3"/>
      <c r="E1635" s="3"/>
      <c r="F1635" s="3"/>
      <c r="G1635" s="3"/>
      <c r="H1635" s="3"/>
      <c r="I1635" s="3"/>
      <c r="J1635" s="3"/>
    </row>
    <row r="1636" spans="4:10" s="22" customFormat="1" x14ac:dyDescent="0.35">
      <c r="D1636" s="3"/>
      <c r="E1636" s="3"/>
      <c r="F1636" s="3"/>
      <c r="G1636" s="3"/>
      <c r="H1636" s="3"/>
      <c r="I1636" s="3"/>
      <c r="J1636" s="3"/>
    </row>
    <row r="1637" spans="4:10" s="22" customFormat="1" x14ac:dyDescent="0.35">
      <c r="D1637" s="3"/>
      <c r="E1637" s="3"/>
      <c r="F1637" s="3"/>
      <c r="G1637" s="3"/>
      <c r="H1637" s="3"/>
      <c r="I1637" s="3"/>
      <c r="J1637" s="3"/>
    </row>
    <row r="1638" spans="4:10" s="22" customFormat="1" x14ac:dyDescent="0.35">
      <c r="D1638" s="3"/>
      <c r="E1638" s="3"/>
      <c r="F1638" s="3"/>
      <c r="G1638" s="3"/>
      <c r="H1638" s="3"/>
      <c r="I1638" s="3"/>
      <c r="J1638" s="3"/>
    </row>
    <row r="1639" spans="4:10" s="22" customFormat="1" x14ac:dyDescent="0.35">
      <c r="D1639" s="3"/>
      <c r="E1639" s="3"/>
      <c r="F1639" s="3"/>
      <c r="G1639" s="3"/>
      <c r="H1639" s="3"/>
      <c r="I1639" s="3"/>
      <c r="J1639" s="3"/>
    </row>
    <row r="1640" spans="4:10" s="22" customFormat="1" x14ac:dyDescent="0.35">
      <c r="D1640" s="3"/>
      <c r="E1640" s="3"/>
      <c r="F1640" s="3"/>
      <c r="G1640" s="3"/>
      <c r="H1640" s="3"/>
      <c r="I1640" s="3"/>
      <c r="J1640" s="3"/>
    </row>
    <row r="1641" spans="4:10" s="22" customFormat="1" x14ac:dyDescent="0.35">
      <c r="D1641" s="3"/>
      <c r="E1641" s="3"/>
      <c r="F1641" s="3"/>
      <c r="G1641" s="3"/>
      <c r="H1641" s="3"/>
      <c r="I1641" s="3"/>
      <c r="J1641" s="3"/>
    </row>
    <row r="1642" spans="4:10" s="22" customFormat="1" x14ac:dyDescent="0.35">
      <c r="D1642" s="3"/>
      <c r="E1642" s="3"/>
      <c r="F1642" s="3"/>
      <c r="G1642" s="3"/>
      <c r="H1642" s="3"/>
      <c r="I1642" s="3"/>
      <c r="J1642" s="3"/>
    </row>
    <row r="1643" spans="4:10" s="22" customFormat="1" x14ac:dyDescent="0.35">
      <c r="D1643" s="3"/>
      <c r="E1643" s="3"/>
      <c r="F1643" s="3"/>
      <c r="G1643" s="3"/>
      <c r="H1643" s="3"/>
      <c r="I1643" s="3"/>
      <c r="J1643" s="3"/>
    </row>
    <row r="1644" spans="4:10" s="22" customFormat="1" x14ac:dyDescent="0.35">
      <c r="D1644" s="3"/>
      <c r="E1644" s="3"/>
      <c r="F1644" s="3"/>
      <c r="G1644" s="3"/>
      <c r="H1644" s="3"/>
      <c r="I1644" s="3"/>
      <c r="J1644" s="3"/>
    </row>
    <row r="1645" spans="4:10" s="22" customFormat="1" x14ac:dyDescent="0.35">
      <c r="D1645" s="3"/>
      <c r="E1645" s="3"/>
      <c r="F1645" s="3"/>
      <c r="G1645" s="3"/>
      <c r="H1645" s="3"/>
      <c r="I1645" s="3"/>
      <c r="J1645" s="3"/>
    </row>
    <row r="1646" spans="4:10" s="22" customFormat="1" x14ac:dyDescent="0.35">
      <c r="D1646" s="3"/>
      <c r="E1646" s="3"/>
      <c r="F1646" s="3"/>
      <c r="G1646" s="3"/>
      <c r="H1646" s="3"/>
      <c r="I1646" s="3"/>
      <c r="J1646" s="3"/>
    </row>
    <row r="1647" spans="4:10" s="22" customFormat="1" x14ac:dyDescent="0.35">
      <c r="D1647" s="3"/>
      <c r="E1647" s="3"/>
      <c r="F1647" s="3"/>
      <c r="G1647" s="3"/>
      <c r="H1647" s="3"/>
      <c r="I1647" s="3"/>
      <c r="J1647" s="3"/>
    </row>
    <row r="1648" spans="4:10" s="22" customFormat="1" x14ac:dyDescent="0.35">
      <c r="D1648" s="3"/>
      <c r="E1648" s="3"/>
      <c r="F1648" s="3"/>
      <c r="G1648" s="3"/>
      <c r="H1648" s="3"/>
      <c r="I1648" s="3"/>
      <c r="J1648" s="3"/>
    </row>
    <row r="1649" spans="4:10" s="22" customFormat="1" x14ac:dyDescent="0.35">
      <c r="D1649" s="3"/>
      <c r="E1649" s="3"/>
      <c r="F1649" s="3"/>
      <c r="G1649" s="3"/>
      <c r="H1649" s="3"/>
      <c r="I1649" s="3"/>
      <c r="J1649" s="3"/>
    </row>
    <row r="1650" spans="4:10" s="22" customFormat="1" x14ac:dyDescent="0.35">
      <c r="D1650" s="3"/>
      <c r="E1650" s="3"/>
      <c r="F1650" s="3"/>
      <c r="G1650" s="3"/>
      <c r="H1650" s="3"/>
      <c r="I1650" s="3"/>
      <c r="J1650" s="3"/>
    </row>
    <row r="1651" spans="4:10" s="22" customFormat="1" x14ac:dyDescent="0.35">
      <c r="D1651" s="3"/>
      <c r="E1651" s="3"/>
      <c r="F1651" s="3"/>
      <c r="G1651" s="3"/>
      <c r="H1651" s="3"/>
      <c r="I1651" s="3"/>
      <c r="J1651" s="3"/>
    </row>
    <row r="1652" spans="4:10" s="22" customFormat="1" x14ac:dyDescent="0.35">
      <c r="D1652" s="3"/>
      <c r="E1652" s="3"/>
      <c r="F1652" s="3"/>
      <c r="G1652" s="3"/>
      <c r="H1652" s="3"/>
      <c r="I1652" s="3"/>
      <c r="J1652" s="3"/>
    </row>
    <row r="1653" spans="4:10" s="22" customFormat="1" x14ac:dyDescent="0.35">
      <c r="D1653" s="3"/>
      <c r="E1653" s="3"/>
      <c r="F1653" s="3"/>
      <c r="G1653" s="3"/>
      <c r="H1653" s="3"/>
      <c r="I1653" s="3"/>
      <c r="J1653" s="3"/>
    </row>
    <row r="1654" spans="4:10" s="22" customFormat="1" x14ac:dyDescent="0.35">
      <c r="D1654" s="3"/>
      <c r="E1654" s="3"/>
      <c r="F1654" s="3"/>
      <c r="G1654" s="3"/>
      <c r="H1654" s="3"/>
      <c r="I1654" s="3"/>
      <c r="J1654" s="3"/>
    </row>
    <row r="1655" spans="4:10" s="22" customFormat="1" x14ac:dyDescent="0.35">
      <c r="D1655" s="3"/>
      <c r="E1655" s="3"/>
      <c r="F1655" s="3"/>
      <c r="G1655" s="3"/>
      <c r="H1655" s="3"/>
      <c r="I1655" s="3"/>
      <c r="J1655" s="3"/>
    </row>
    <row r="1656" spans="4:10" s="22" customFormat="1" x14ac:dyDescent="0.35">
      <c r="D1656" s="3"/>
      <c r="E1656" s="3"/>
      <c r="F1656" s="3"/>
      <c r="G1656" s="3"/>
      <c r="H1656" s="3"/>
      <c r="I1656" s="3"/>
      <c r="J1656" s="3"/>
    </row>
    <row r="1657" spans="4:10" s="22" customFormat="1" x14ac:dyDescent="0.35">
      <c r="D1657" s="3"/>
      <c r="E1657" s="3"/>
      <c r="F1657" s="3"/>
      <c r="G1657" s="3"/>
      <c r="H1657" s="3"/>
      <c r="I1657" s="3"/>
      <c r="J1657" s="3"/>
    </row>
    <row r="1658" spans="4:10" s="22" customFormat="1" x14ac:dyDescent="0.35">
      <c r="D1658" s="3"/>
      <c r="E1658" s="3"/>
      <c r="F1658" s="3"/>
      <c r="G1658" s="3"/>
      <c r="H1658" s="3"/>
      <c r="I1658" s="3"/>
      <c r="J1658" s="3"/>
    </row>
    <row r="1659" spans="4:10" s="22" customFormat="1" x14ac:dyDescent="0.35">
      <c r="D1659" s="3"/>
      <c r="E1659" s="3"/>
      <c r="F1659" s="3"/>
      <c r="G1659" s="3"/>
      <c r="H1659" s="3"/>
      <c r="I1659" s="3"/>
      <c r="J1659" s="3"/>
    </row>
    <row r="1660" spans="4:10" s="22" customFormat="1" x14ac:dyDescent="0.35">
      <c r="D1660" s="3"/>
      <c r="E1660" s="3"/>
      <c r="F1660" s="3"/>
      <c r="G1660" s="3"/>
      <c r="H1660" s="3"/>
      <c r="I1660" s="3"/>
      <c r="J1660" s="3"/>
    </row>
    <row r="1661" spans="4:10" s="22" customFormat="1" x14ac:dyDescent="0.35">
      <c r="D1661" s="3"/>
      <c r="E1661" s="3"/>
      <c r="F1661" s="3"/>
      <c r="G1661" s="3"/>
      <c r="H1661" s="3"/>
      <c r="I1661" s="3"/>
      <c r="J1661" s="3"/>
    </row>
    <row r="1662" spans="4:10" s="22" customFormat="1" x14ac:dyDescent="0.35">
      <c r="D1662" s="3"/>
      <c r="E1662" s="3"/>
      <c r="F1662" s="3"/>
      <c r="G1662" s="3"/>
      <c r="H1662" s="3"/>
      <c r="I1662" s="3"/>
      <c r="J1662" s="3"/>
    </row>
    <row r="1663" spans="4:10" s="22" customFormat="1" x14ac:dyDescent="0.35">
      <c r="D1663" s="3"/>
      <c r="E1663" s="3"/>
      <c r="F1663" s="3"/>
      <c r="G1663" s="3"/>
      <c r="H1663" s="3"/>
      <c r="I1663" s="3"/>
      <c r="J1663" s="3"/>
    </row>
    <row r="1664" spans="4:10" s="22" customFormat="1" x14ac:dyDescent="0.35">
      <c r="D1664" s="3"/>
      <c r="E1664" s="3"/>
      <c r="F1664" s="3"/>
      <c r="G1664" s="3"/>
      <c r="H1664" s="3"/>
      <c r="I1664" s="3"/>
      <c r="J1664" s="3"/>
    </row>
    <row r="1665" spans="4:10" s="22" customFormat="1" x14ac:dyDescent="0.35">
      <c r="D1665" s="3"/>
      <c r="E1665" s="3"/>
      <c r="F1665" s="3"/>
      <c r="G1665" s="3"/>
      <c r="H1665" s="3"/>
      <c r="I1665" s="3"/>
      <c r="J1665" s="3"/>
    </row>
    <row r="1666" spans="4:10" s="22" customFormat="1" x14ac:dyDescent="0.35">
      <c r="D1666" s="3"/>
      <c r="E1666" s="3"/>
      <c r="F1666" s="3"/>
      <c r="G1666" s="3"/>
      <c r="H1666" s="3"/>
      <c r="I1666" s="3"/>
      <c r="J1666" s="3"/>
    </row>
    <row r="1667" spans="4:10" s="22" customFormat="1" x14ac:dyDescent="0.35">
      <c r="D1667" s="3"/>
      <c r="E1667" s="3"/>
      <c r="F1667" s="3"/>
      <c r="G1667" s="3"/>
      <c r="H1667" s="3"/>
      <c r="I1667" s="3"/>
      <c r="J1667" s="3"/>
    </row>
    <row r="1668" spans="4:10" s="22" customFormat="1" x14ac:dyDescent="0.35">
      <c r="D1668" s="3"/>
      <c r="E1668" s="3"/>
      <c r="F1668" s="3"/>
      <c r="G1668" s="3"/>
      <c r="H1668" s="3"/>
      <c r="I1668" s="3"/>
      <c r="J1668" s="3"/>
    </row>
    <row r="1669" spans="4:10" s="22" customFormat="1" x14ac:dyDescent="0.35">
      <c r="D1669" s="3"/>
      <c r="E1669" s="3"/>
      <c r="F1669" s="3"/>
      <c r="G1669" s="3"/>
      <c r="H1669" s="3"/>
      <c r="I1669" s="3"/>
      <c r="J1669" s="3"/>
    </row>
    <row r="1670" spans="4:10" s="22" customFormat="1" x14ac:dyDescent="0.35">
      <c r="D1670" s="3"/>
      <c r="E1670" s="3"/>
      <c r="F1670" s="3"/>
      <c r="G1670" s="3"/>
      <c r="H1670" s="3"/>
      <c r="I1670" s="3"/>
      <c r="J1670" s="3"/>
    </row>
    <row r="1671" spans="4:10" s="22" customFormat="1" x14ac:dyDescent="0.35">
      <c r="D1671" s="3"/>
      <c r="E1671" s="3"/>
      <c r="F1671" s="3"/>
      <c r="G1671" s="3"/>
      <c r="H1671" s="3"/>
      <c r="I1671" s="3"/>
      <c r="J1671" s="3"/>
    </row>
    <row r="1672" spans="4:10" s="22" customFormat="1" x14ac:dyDescent="0.35">
      <c r="D1672" s="3"/>
      <c r="E1672" s="3"/>
      <c r="F1672" s="3"/>
      <c r="G1672" s="3"/>
      <c r="H1672" s="3"/>
      <c r="I1672" s="3"/>
      <c r="J1672" s="3"/>
    </row>
    <row r="1673" spans="4:10" s="22" customFormat="1" x14ac:dyDescent="0.35">
      <c r="D1673" s="3"/>
      <c r="E1673" s="3"/>
      <c r="F1673" s="3"/>
      <c r="G1673" s="3"/>
      <c r="H1673" s="3"/>
      <c r="I1673" s="3"/>
      <c r="J1673" s="3"/>
    </row>
    <row r="1674" spans="4:10" s="22" customFormat="1" x14ac:dyDescent="0.35">
      <c r="D1674" s="3"/>
      <c r="E1674" s="3"/>
      <c r="F1674" s="3"/>
      <c r="G1674" s="3"/>
      <c r="H1674" s="3"/>
      <c r="I1674" s="3"/>
      <c r="J1674" s="3"/>
    </row>
    <row r="1675" spans="4:10" s="22" customFormat="1" x14ac:dyDescent="0.35">
      <c r="D1675" s="3"/>
      <c r="E1675" s="3"/>
      <c r="F1675" s="3"/>
      <c r="G1675" s="3"/>
      <c r="H1675" s="3"/>
      <c r="I1675" s="3"/>
      <c r="J1675" s="3"/>
    </row>
    <row r="1676" spans="4:10" s="22" customFormat="1" x14ac:dyDescent="0.35">
      <c r="D1676" s="3"/>
      <c r="E1676" s="3"/>
      <c r="F1676" s="3"/>
      <c r="G1676" s="3"/>
      <c r="H1676" s="3"/>
      <c r="I1676" s="3"/>
      <c r="J1676" s="3"/>
    </row>
    <row r="1677" spans="4:10" s="22" customFormat="1" x14ac:dyDescent="0.35">
      <c r="D1677" s="3"/>
      <c r="E1677" s="3"/>
      <c r="F1677" s="3"/>
      <c r="G1677" s="3"/>
      <c r="H1677" s="3"/>
      <c r="I1677" s="3"/>
      <c r="J1677" s="3"/>
    </row>
    <row r="1678" spans="4:10" s="22" customFormat="1" x14ac:dyDescent="0.35">
      <c r="D1678" s="3"/>
      <c r="E1678" s="3"/>
      <c r="F1678" s="3"/>
      <c r="G1678" s="3"/>
      <c r="H1678" s="3"/>
      <c r="I1678" s="3"/>
      <c r="J1678" s="3"/>
    </row>
    <row r="1679" spans="4:10" s="22" customFormat="1" x14ac:dyDescent="0.35">
      <c r="D1679" s="3"/>
      <c r="E1679" s="3"/>
      <c r="F1679" s="3"/>
      <c r="G1679" s="3"/>
      <c r="H1679" s="3"/>
      <c r="I1679" s="3"/>
      <c r="J1679" s="3"/>
    </row>
    <row r="1680" spans="4:10" s="22" customFormat="1" x14ac:dyDescent="0.35">
      <c r="D1680" s="3"/>
      <c r="E1680" s="3"/>
      <c r="F1680" s="3"/>
      <c r="G1680" s="3"/>
      <c r="H1680" s="3"/>
      <c r="I1680" s="3"/>
      <c r="J1680" s="3"/>
    </row>
    <row r="1681" spans="4:10" s="22" customFormat="1" x14ac:dyDescent="0.35">
      <c r="D1681" s="3"/>
      <c r="E1681" s="3"/>
      <c r="F1681" s="3"/>
      <c r="G1681" s="3"/>
      <c r="H1681" s="3"/>
      <c r="I1681" s="3"/>
      <c r="J1681" s="3"/>
    </row>
    <row r="1682" spans="4:10" s="22" customFormat="1" x14ac:dyDescent="0.35">
      <c r="D1682" s="3"/>
      <c r="E1682" s="3"/>
      <c r="F1682" s="3"/>
      <c r="G1682" s="3"/>
      <c r="H1682" s="3"/>
      <c r="I1682" s="3"/>
      <c r="J1682" s="3"/>
    </row>
    <row r="1683" spans="4:10" s="22" customFormat="1" x14ac:dyDescent="0.35">
      <c r="D1683" s="3"/>
      <c r="E1683" s="3"/>
      <c r="F1683" s="3"/>
      <c r="G1683" s="3"/>
      <c r="H1683" s="3"/>
      <c r="I1683" s="3"/>
      <c r="J1683" s="3"/>
    </row>
    <row r="1684" spans="4:10" s="22" customFormat="1" x14ac:dyDescent="0.35">
      <c r="D1684" s="3"/>
      <c r="E1684" s="3"/>
      <c r="F1684" s="3"/>
      <c r="G1684" s="3"/>
      <c r="H1684" s="3"/>
      <c r="I1684" s="3"/>
      <c r="J1684" s="3"/>
    </row>
    <row r="1685" spans="4:10" s="22" customFormat="1" x14ac:dyDescent="0.35">
      <c r="D1685" s="3"/>
      <c r="E1685" s="3"/>
      <c r="F1685" s="3"/>
      <c r="G1685" s="3"/>
      <c r="H1685" s="3"/>
      <c r="I1685" s="3"/>
      <c r="J1685" s="3"/>
    </row>
    <row r="1686" spans="4:10" s="22" customFormat="1" x14ac:dyDescent="0.35">
      <c r="D1686" s="3"/>
      <c r="E1686" s="3"/>
      <c r="F1686" s="3"/>
      <c r="G1686" s="3"/>
      <c r="H1686" s="3"/>
      <c r="I1686" s="3"/>
      <c r="J1686" s="3"/>
    </row>
    <row r="1687" spans="4:10" s="22" customFormat="1" x14ac:dyDescent="0.35">
      <c r="D1687" s="3"/>
      <c r="E1687" s="3"/>
      <c r="F1687" s="3"/>
      <c r="G1687" s="3"/>
      <c r="H1687" s="3"/>
      <c r="I1687" s="3"/>
      <c r="J1687" s="3"/>
    </row>
    <row r="1688" spans="4:10" s="22" customFormat="1" x14ac:dyDescent="0.35">
      <c r="D1688" s="3"/>
      <c r="E1688" s="3"/>
      <c r="F1688" s="3"/>
      <c r="G1688" s="3"/>
      <c r="H1688" s="3"/>
      <c r="I1688" s="3"/>
      <c r="J1688" s="3"/>
    </row>
    <row r="1689" spans="4:10" s="22" customFormat="1" x14ac:dyDescent="0.35">
      <c r="D1689" s="3"/>
      <c r="E1689" s="3"/>
      <c r="F1689" s="3"/>
      <c r="G1689" s="3"/>
      <c r="H1689" s="3"/>
      <c r="I1689" s="3"/>
      <c r="J1689" s="3"/>
    </row>
    <row r="1690" spans="4:10" s="22" customFormat="1" x14ac:dyDescent="0.35">
      <c r="D1690" s="3"/>
      <c r="E1690" s="3"/>
      <c r="F1690" s="3"/>
      <c r="G1690" s="3"/>
      <c r="H1690" s="3"/>
      <c r="I1690" s="3"/>
      <c r="J1690" s="3"/>
    </row>
    <row r="1691" spans="4:10" s="22" customFormat="1" x14ac:dyDescent="0.35">
      <c r="D1691" s="3"/>
      <c r="E1691" s="3"/>
      <c r="F1691" s="3"/>
      <c r="G1691" s="3"/>
      <c r="H1691" s="3"/>
      <c r="I1691" s="3"/>
      <c r="J1691" s="3"/>
    </row>
    <row r="1692" spans="4:10" s="22" customFormat="1" x14ac:dyDescent="0.35">
      <c r="D1692" s="3"/>
      <c r="E1692" s="3"/>
      <c r="F1692" s="3"/>
      <c r="G1692" s="3"/>
      <c r="H1692" s="3"/>
      <c r="I1692" s="3"/>
      <c r="J1692" s="3"/>
    </row>
    <row r="1693" spans="4:10" s="22" customFormat="1" x14ac:dyDescent="0.35">
      <c r="D1693" s="3"/>
      <c r="E1693" s="3"/>
      <c r="F1693" s="3"/>
      <c r="G1693" s="3"/>
      <c r="H1693" s="3"/>
      <c r="I1693" s="3"/>
      <c r="J1693" s="3"/>
    </row>
    <row r="1694" spans="4:10" s="22" customFormat="1" x14ac:dyDescent="0.35">
      <c r="D1694" s="3"/>
      <c r="E1694" s="3"/>
      <c r="F1694" s="3"/>
      <c r="G1694" s="3"/>
      <c r="H1694" s="3"/>
      <c r="I1694" s="3"/>
      <c r="J1694" s="3"/>
    </row>
    <row r="1695" spans="4:10" s="22" customFormat="1" x14ac:dyDescent="0.35">
      <c r="D1695" s="3"/>
      <c r="E1695" s="3"/>
      <c r="F1695" s="3"/>
      <c r="G1695" s="3"/>
      <c r="H1695" s="3"/>
      <c r="I1695" s="3"/>
      <c r="J1695" s="3"/>
    </row>
    <row r="1696" spans="4:10" s="22" customFormat="1" x14ac:dyDescent="0.35">
      <c r="D1696" s="3"/>
      <c r="E1696" s="3"/>
      <c r="F1696" s="3"/>
      <c r="G1696" s="3"/>
      <c r="H1696" s="3"/>
      <c r="I1696" s="3"/>
      <c r="J1696" s="3"/>
    </row>
    <row r="1697" spans="4:10" s="22" customFormat="1" x14ac:dyDescent="0.35">
      <c r="D1697" s="3"/>
      <c r="E1697" s="3"/>
      <c r="F1697" s="3"/>
      <c r="G1697" s="3"/>
      <c r="H1697" s="3"/>
      <c r="I1697" s="3"/>
      <c r="J1697" s="3"/>
    </row>
    <row r="1698" spans="4:10" s="22" customFormat="1" x14ac:dyDescent="0.35">
      <c r="D1698" s="3"/>
      <c r="E1698" s="3"/>
      <c r="F1698" s="3"/>
      <c r="G1698" s="3"/>
      <c r="H1698" s="3"/>
      <c r="I1698" s="3"/>
      <c r="J1698" s="3"/>
    </row>
    <row r="1699" spans="4:10" s="22" customFormat="1" x14ac:dyDescent="0.35">
      <c r="D1699" s="3"/>
      <c r="E1699" s="3"/>
      <c r="F1699" s="3"/>
      <c r="G1699" s="3"/>
      <c r="H1699" s="3"/>
      <c r="I1699" s="3"/>
      <c r="J1699" s="3"/>
    </row>
    <row r="1700" spans="4:10" s="22" customFormat="1" x14ac:dyDescent="0.35">
      <c r="D1700" s="3"/>
      <c r="E1700" s="3"/>
      <c r="F1700" s="3"/>
      <c r="G1700" s="3"/>
      <c r="H1700" s="3"/>
      <c r="I1700" s="3"/>
      <c r="J1700" s="3"/>
    </row>
    <row r="1701" spans="4:10" s="22" customFormat="1" x14ac:dyDescent="0.35">
      <c r="D1701" s="3"/>
      <c r="E1701" s="3"/>
      <c r="F1701" s="3"/>
      <c r="G1701" s="3"/>
      <c r="H1701" s="3"/>
      <c r="I1701" s="3"/>
      <c r="J1701" s="3"/>
    </row>
    <row r="1702" spans="4:10" s="22" customFormat="1" x14ac:dyDescent="0.35">
      <c r="D1702" s="3"/>
      <c r="E1702" s="3"/>
      <c r="F1702" s="3"/>
      <c r="G1702" s="3"/>
      <c r="H1702" s="3"/>
      <c r="I1702" s="3"/>
      <c r="J1702" s="3"/>
    </row>
    <row r="1703" spans="4:10" s="22" customFormat="1" x14ac:dyDescent="0.35">
      <c r="D1703" s="3"/>
      <c r="E1703" s="3"/>
      <c r="F1703" s="3"/>
      <c r="G1703" s="3"/>
      <c r="H1703" s="3"/>
      <c r="I1703" s="3"/>
      <c r="J1703" s="3"/>
    </row>
    <row r="1704" spans="4:10" s="22" customFormat="1" x14ac:dyDescent="0.35">
      <c r="D1704" s="3"/>
      <c r="E1704" s="3"/>
      <c r="F1704" s="3"/>
      <c r="G1704" s="3"/>
      <c r="H1704" s="3"/>
      <c r="I1704" s="3"/>
      <c r="J1704" s="3"/>
    </row>
    <row r="1705" spans="4:10" s="22" customFormat="1" x14ac:dyDescent="0.35">
      <c r="D1705" s="3"/>
      <c r="E1705" s="3"/>
      <c r="F1705" s="3"/>
      <c r="G1705" s="3"/>
      <c r="H1705" s="3"/>
      <c r="I1705" s="3"/>
      <c r="J1705" s="3"/>
    </row>
    <row r="1706" spans="4:10" s="22" customFormat="1" x14ac:dyDescent="0.35">
      <c r="D1706" s="3"/>
      <c r="E1706" s="3"/>
      <c r="F1706" s="3"/>
      <c r="G1706" s="3"/>
      <c r="H1706" s="3"/>
      <c r="I1706" s="3"/>
      <c r="J1706" s="3"/>
    </row>
    <row r="1707" spans="4:10" s="22" customFormat="1" x14ac:dyDescent="0.35">
      <c r="D1707" s="3"/>
      <c r="E1707" s="3"/>
      <c r="F1707" s="3"/>
      <c r="G1707" s="3"/>
      <c r="H1707" s="3"/>
      <c r="I1707" s="3"/>
      <c r="J1707" s="3"/>
    </row>
    <row r="1708" spans="4:10" s="22" customFormat="1" x14ac:dyDescent="0.35">
      <c r="D1708" s="3"/>
      <c r="E1708" s="3"/>
      <c r="F1708" s="3"/>
      <c r="G1708" s="3"/>
      <c r="H1708" s="3"/>
      <c r="I1708" s="3"/>
      <c r="J1708" s="3"/>
    </row>
    <row r="1709" spans="4:10" s="22" customFormat="1" x14ac:dyDescent="0.35">
      <c r="D1709" s="3"/>
      <c r="E1709" s="3"/>
      <c r="F1709" s="3"/>
      <c r="G1709" s="3"/>
      <c r="H1709" s="3"/>
      <c r="I1709" s="3"/>
      <c r="J1709" s="3"/>
    </row>
    <row r="1710" spans="4:10" s="22" customFormat="1" x14ac:dyDescent="0.35">
      <c r="D1710" s="3"/>
      <c r="E1710" s="3"/>
      <c r="F1710" s="3"/>
      <c r="G1710" s="3"/>
      <c r="H1710" s="3"/>
      <c r="I1710" s="3"/>
      <c r="J1710" s="3"/>
    </row>
    <row r="1711" spans="4:10" s="22" customFormat="1" x14ac:dyDescent="0.35">
      <c r="D1711" s="3"/>
      <c r="E1711" s="3"/>
      <c r="F1711" s="3"/>
      <c r="G1711" s="3"/>
      <c r="H1711" s="3"/>
      <c r="I1711" s="3"/>
      <c r="J1711" s="3"/>
    </row>
    <row r="1712" spans="4:10" s="22" customFormat="1" x14ac:dyDescent="0.35">
      <c r="D1712" s="3"/>
      <c r="E1712" s="3"/>
      <c r="F1712" s="3"/>
      <c r="G1712" s="3"/>
      <c r="H1712" s="3"/>
      <c r="I1712" s="3"/>
      <c r="J1712" s="3"/>
    </row>
    <row r="1713" spans="4:10" s="22" customFormat="1" x14ac:dyDescent="0.35">
      <c r="D1713" s="3"/>
      <c r="E1713" s="3"/>
      <c r="F1713" s="3"/>
      <c r="G1713" s="3"/>
      <c r="H1713" s="3"/>
      <c r="I1713" s="3"/>
      <c r="J1713" s="3"/>
    </row>
    <row r="1714" spans="4:10" s="22" customFormat="1" x14ac:dyDescent="0.35">
      <c r="D1714" s="3"/>
      <c r="E1714" s="3"/>
      <c r="F1714" s="3"/>
      <c r="G1714" s="3"/>
      <c r="H1714" s="3"/>
      <c r="I1714" s="3"/>
      <c r="J1714" s="3"/>
    </row>
    <row r="1715" spans="4:10" s="22" customFormat="1" x14ac:dyDescent="0.35">
      <c r="D1715" s="3" t="s">
        <v>375</v>
      </c>
      <c r="E1715" s="3"/>
      <c r="F1715" s="3"/>
      <c r="G1715" s="3"/>
      <c r="H1715" s="3"/>
      <c r="I1715" s="3"/>
      <c r="J1715" s="3"/>
    </row>
    <row r="1716" spans="4:10" s="22" customFormat="1" x14ac:dyDescent="0.35">
      <c r="D1716" s="3"/>
      <c r="E1716" s="3"/>
      <c r="F1716" s="3"/>
      <c r="G1716" s="3"/>
      <c r="H1716" s="3"/>
      <c r="I1716" s="3"/>
      <c r="J1716" s="3"/>
    </row>
    <row r="1717" spans="4:10" s="22" customFormat="1" x14ac:dyDescent="0.35">
      <c r="D1717" s="3"/>
      <c r="E1717" s="3"/>
      <c r="F1717" s="3"/>
      <c r="G1717" s="3"/>
      <c r="H1717" s="3"/>
      <c r="I1717" s="3"/>
      <c r="J1717" s="3"/>
    </row>
    <row r="1718" spans="4:10" s="22" customFormat="1" x14ac:dyDescent="0.35">
      <c r="D1718" s="3"/>
      <c r="E1718" s="3"/>
      <c r="F1718" s="3"/>
      <c r="G1718" s="3"/>
      <c r="H1718" s="3"/>
      <c r="I1718" s="3"/>
      <c r="J1718" s="3"/>
    </row>
    <row r="1719" spans="4:10" s="22" customFormat="1" x14ac:dyDescent="0.35">
      <c r="D1719" s="3"/>
      <c r="E1719" s="3"/>
      <c r="F1719" s="3"/>
      <c r="G1719" s="3"/>
      <c r="H1719" s="3"/>
      <c r="I1719" s="3"/>
      <c r="J1719" s="3"/>
    </row>
    <row r="1720" spans="4:10" s="22" customFormat="1" x14ac:dyDescent="0.35">
      <c r="D1720" s="3"/>
      <c r="E1720" s="3"/>
      <c r="F1720" s="3"/>
      <c r="G1720" s="3"/>
      <c r="H1720" s="3"/>
      <c r="I1720" s="3"/>
      <c r="J1720" s="3"/>
    </row>
    <row r="1721" spans="4:10" s="22" customFormat="1" x14ac:dyDescent="0.35">
      <c r="D1721" s="3"/>
      <c r="E1721" s="3"/>
      <c r="F1721" s="3"/>
      <c r="G1721" s="3"/>
      <c r="H1721" s="3"/>
      <c r="I1721" s="3"/>
      <c r="J1721" s="3"/>
    </row>
    <row r="1722" spans="4:10" s="22" customFormat="1" x14ac:dyDescent="0.35">
      <c r="D1722" s="3"/>
      <c r="E1722" s="3"/>
      <c r="F1722" s="3"/>
      <c r="G1722" s="3"/>
      <c r="H1722" s="3"/>
      <c r="I1722" s="3"/>
      <c r="J1722" s="3"/>
    </row>
    <row r="1723" spans="4:10" s="22" customFormat="1" x14ac:dyDescent="0.35">
      <c r="D1723" s="3"/>
      <c r="E1723" s="3"/>
      <c r="F1723" s="3"/>
      <c r="G1723" s="3"/>
      <c r="H1723" s="3"/>
      <c r="I1723" s="3"/>
      <c r="J1723" s="3"/>
    </row>
    <row r="1724" spans="4:10" s="22" customFormat="1" x14ac:dyDescent="0.35">
      <c r="D1724" s="3"/>
      <c r="E1724" s="3"/>
      <c r="F1724" s="3"/>
      <c r="G1724" s="3"/>
      <c r="H1724" s="3"/>
      <c r="I1724" s="3"/>
      <c r="J1724" s="3"/>
    </row>
    <row r="1725" spans="4:10" s="22" customFormat="1" x14ac:dyDescent="0.35">
      <c r="D1725" s="3"/>
      <c r="E1725" s="3"/>
      <c r="F1725" s="3"/>
      <c r="G1725" s="3"/>
      <c r="H1725" s="3"/>
      <c r="I1725" s="3"/>
      <c r="J1725" s="3"/>
    </row>
    <row r="1726" spans="4:10" s="22" customFormat="1" x14ac:dyDescent="0.35">
      <c r="D1726" s="3"/>
      <c r="E1726" s="3"/>
      <c r="F1726" s="3"/>
      <c r="G1726" s="3"/>
      <c r="H1726" s="3"/>
      <c r="I1726" s="3"/>
      <c r="J1726" s="3"/>
    </row>
    <row r="1727" spans="4:10" s="22" customFormat="1" x14ac:dyDescent="0.35">
      <c r="D1727" s="3"/>
      <c r="E1727" s="3"/>
      <c r="F1727" s="3"/>
      <c r="G1727" s="3"/>
      <c r="H1727" s="3"/>
      <c r="I1727" s="3"/>
      <c r="J1727" s="3"/>
    </row>
    <row r="1728" spans="4:10" s="22" customFormat="1" x14ac:dyDescent="0.35">
      <c r="D1728" s="3"/>
      <c r="E1728" s="3"/>
      <c r="F1728" s="3"/>
      <c r="G1728" s="3"/>
      <c r="H1728" s="3"/>
      <c r="I1728" s="3"/>
      <c r="J1728" s="3"/>
    </row>
    <row r="1729" spans="4:10" s="22" customFormat="1" x14ac:dyDescent="0.35">
      <c r="D1729" s="3"/>
      <c r="E1729" s="3"/>
      <c r="F1729" s="3"/>
      <c r="G1729" s="3"/>
      <c r="H1729" s="3"/>
      <c r="I1729" s="3"/>
      <c r="J1729" s="3"/>
    </row>
    <row r="1730" spans="4:10" s="22" customFormat="1" x14ac:dyDescent="0.35">
      <c r="D1730" s="3"/>
      <c r="E1730" s="3"/>
      <c r="F1730" s="3"/>
      <c r="G1730" s="3"/>
      <c r="H1730" s="3"/>
      <c r="I1730" s="3"/>
      <c r="J1730" s="3"/>
    </row>
    <row r="1731" spans="4:10" s="22" customFormat="1" x14ac:dyDescent="0.35">
      <c r="D1731" s="3"/>
      <c r="E1731" s="3"/>
      <c r="F1731" s="3"/>
      <c r="G1731" s="3"/>
      <c r="H1731" s="3"/>
      <c r="I1731" s="3"/>
      <c r="J1731" s="3"/>
    </row>
    <row r="1732" spans="4:10" s="22" customFormat="1" x14ac:dyDescent="0.35">
      <c r="D1732" s="3"/>
      <c r="E1732" s="3"/>
      <c r="F1732" s="3"/>
      <c r="G1732" s="3"/>
      <c r="H1732" s="3"/>
      <c r="I1732" s="3"/>
      <c r="J1732" s="3"/>
    </row>
    <row r="1733" spans="4:10" s="22" customFormat="1" x14ac:dyDescent="0.35">
      <c r="D1733" s="3"/>
      <c r="E1733" s="3"/>
      <c r="F1733" s="3"/>
      <c r="G1733" s="3"/>
      <c r="H1733" s="3"/>
      <c r="I1733" s="3"/>
      <c r="J1733" s="3"/>
    </row>
    <row r="1734" spans="4:10" s="22" customFormat="1" x14ac:dyDescent="0.35">
      <c r="D1734" s="3"/>
      <c r="E1734" s="3"/>
      <c r="F1734" s="3"/>
      <c r="G1734" s="3"/>
      <c r="H1734" s="3"/>
      <c r="I1734" s="3"/>
      <c r="J1734" s="3"/>
    </row>
    <row r="1735" spans="4:10" s="22" customFormat="1" x14ac:dyDescent="0.35">
      <c r="D1735" s="3"/>
      <c r="E1735" s="3"/>
      <c r="F1735" s="3"/>
      <c r="G1735" s="3"/>
      <c r="H1735" s="3"/>
      <c r="I1735" s="3"/>
      <c r="J1735" s="3"/>
    </row>
    <row r="1736" spans="4:10" s="22" customFormat="1" x14ac:dyDescent="0.35">
      <c r="D1736" s="3"/>
      <c r="E1736" s="3"/>
      <c r="F1736" s="3"/>
      <c r="G1736" s="3"/>
      <c r="H1736" s="3"/>
      <c r="I1736" s="3"/>
      <c r="J1736" s="3"/>
    </row>
    <row r="1737" spans="4:10" s="22" customFormat="1" x14ac:dyDescent="0.35">
      <c r="D1737" s="3" t="s">
        <v>376</v>
      </c>
      <c r="E1737" s="3"/>
      <c r="F1737" s="3"/>
      <c r="G1737" s="3"/>
      <c r="H1737" s="3"/>
      <c r="I1737" s="3"/>
      <c r="J1737" s="3"/>
    </row>
    <row r="1738" spans="4:10" s="22" customFormat="1" x14ac:dyDescent="0.35">
      <c r="D1738" s="3"/>
      <c r="E1738" s="3"/>
      <c r="F1738" s="3"/>
      <c r="G1738" s="3"/>
      <c r="H1738" s="3"/>
      <c r="I1738" s="3"/>
      <c r="J1738" s="3"/>
    </row>
    <row r="1739" spans="4:10" s="22" customFormat="1" x14ac:dyDescent="0.35">
      <c r="D1739" s="3"/>
      <c r="E1739" s="3"/>
      <c r="F1739" s="3"/>
      <c r="G1739" s="3"/>
      <c r="H1739" s="3"/>
      <c r="I1739" s="3"/>
      <c r="J1739" s="3"/>
    </row>
    <row r="1740" spans="4:10" s="22" customFormat="1" x14ac:dyDescent="0.35">
      <c r="D1740" s="3"/>
      <c r="E1740" s="3"/>
      <c r="F1740" s="3"/>
      <c r="G1740" s="3"/>
      <c r="H1740" s="3"/>
      <c r="I1740" s="3"/>
      <c r="J1740" s="3"/>
    </row>
    <row r="1741" spans="4:10" s="22" customFormat="1" x14ac:dyDescent="0.35">
      <c r="D1741" s="3"/>
      <c r="E1741" s="3"/>
      <c r="F1741" s="3"/>
      <c r="G1741" s="3"/>
      <c r="H1741" s="3"/>
      <c r="I1741" s="3"/>
      <c r="J1741" s="3"/>
    </row>
    <row r="1742" spans="4:10" s="22" customFormat="1" x14ac:dyDescent="0.35">
      <c r="D1742" s="3"/>
      <c r="E1742" s="3"/>
      <c r="F1742" s="3"/>
      <c r="G1742" s="3"/>
      <c r="H1742" s="3"/>
      <c r="I1742" s="3"/>
      <c r="J1742" s="3"/>
    </row>
    <row r="1743" spans="4:10" s="22" customFormat="1" x14ac:dyDescent="0.35">
      <c r="D1743" s="3"/>
      <c r="E1743" s="3"/>
      <c r="F1743" s="3"/>
      <c r="G1743" s="3"/>
      <c r="H1743" s="3"/>
      <c r="I1743" s="3"/>
      <c r="J1743" s="3"/>
    </row>
    <row r="1744" spans="4:10" s="22" customFormat="1" x14ac:dyDescent="0.35">
      <c r="D1744" s="3"/>
      <c r="E1744" s="3"/>
      <c r="F1744" s="3"/>
      <c r="G1744" s="3"/>
      <c r="H1744" s="3"/>
      <c r="I1744" s="3"/>
      <c r="J1744" s="3"/>
    </row>
    <row r="1745" spans="4:10" s="22" customFormat="1" x14ac:dyDescent="0.35">
      <c r="D1745" s="3"/>
      <c r="E1745" s="3"/>
      <c r="F1745" s="3"/>
      <c r="G1745" s="3"/>
      <c r="H1745" s="3"/>
      <c r="I1745" s="3"/>
      <c r="J1745" s="3"/>
    </row>
    <row r="1746" spans="4:10" s="22" customFormat="1" x14ac:dyDescent="0.35">
      <c r="D1746" s="3"/>
      <c r="E1746" s="3"/>
      <c r="F1746" s="3"/>
      <c r="G1746" s="3"/>
      <c r="H1746" s="3"/>
      <c r="I1746" s="3"/>
      <c r="J1746" s="3"/>
    </row>
    <row r="1747" spans="4:10" s="22" customFormat="1" x14ac:dyDescent="0.35">
      <c r="D1747" s="3"/>
      <c r="E1747" s="3"/>
      <c r="F1747" s="3"/>
      <c r="G1747" s="3"/>
      <c r="H1747" s="3"/>
      <c r="I1747" s="3"/>
      <c r="J1747" s="3"/>
    </row>
    <row r="1748" spans="4:10" s="22" customFormat="1" x14ac:dyDescent="0.35">
      <c r="D1748" s="3"/>
      <c r="E1748" s="3"/>
      <c r="F1748" s="3"/>
      <c r="G1748" s="3"/>
      <c r="H1748" s="3"/>
      <c r="I1748" s="3"/>
      <c r="J1748" s="3"/>
    </row>
    <row r="1749" spans="4:10" s="22" customFormat="1" x14ac:dyDescent="0.35">
      <c r="D1749" s="3"/>
      <c r="E1749" s="3"/>
      <c r="F1749" s="3"/>
      <c r="G1749" s="3"/>
      <c r="H1749" s="3"/>
      <c r="I1749" s="3"/>
      <c r="J1749" s="3"/>
    </row>
    <row r="1750" spans="4:10" s="22" customFormat="1" x14ac:dyDescent="0.35">
      <c r="D1750" s="3"/>
      <c r="E1750" s="3"/>
      <c r="F1750" s="3"/>
      <c r="G1750" s="3"/>
      <c r="H1750" s="3"/>
      <c r="I1750" s="3"/>
      <c r="J1750" s="3"/>
    </row>
    <row r="1751" spans="4:10" s="22" customFormat="1" x14ac:dyDescent="0.35">
      <c r="D1751" s="3"/>
      <c r="E1751" s="3"/>
      <c r="F1751" s="3"/>
      <c r="G1751" s="3"/>
      <c r="H1751" s="3"/>
      <c r="I1751" s="3"/>
      <c r="J1751" s="3"/>
    </row>
    <row r="1752" spans="4:10" s="22" customFormat="1" x14ac:dyDescent="0.35">
      <c r="D1752" s="3"/>
      <c r="E1752" s="3"/>
      <c r="F1752" s="3"/>
      <c r="G1752" s="3"/>
      <c r="H1752" s="3"/>
      <c r="I1752" s="3"/>
      <c r="J1752" s="3"/>
    </row>
    <row r="1753" spans="4:10" s="22" customFormat="1" x14ac:dyDescent="0.35">
      <c r="D1753" s="3"/>
      <c r="E1753" s="3"/>
      <c r="F1753" s="3"/>
      <c r="G1753" s="3"/>
      <c r="H1753" s="3"/>
      <c r="I1753" s="3"/>
      <c r="J1753" s="3"/>
    </row>
    <row r="1754" spans="4:10" s="22" customFormat="1" x14ac:dyDescent="0.35">
      <c r="D1754" s="3"/>
      <c r="E1754" s="3"/>
      <c r="F1754" s="3"/>
      <c r="G1754" s="3"/>
      <c r="H1754" s="3"/>
      <c r="I1754" s="3"/>
      <c r="J1754" s="3"/>
    </row>
    <row r="1755" spans="4:10" s="22" customFormat="1" x14ac:dyDescent="0.35">
      <c r="D1755" s="3"/>
      <c r="E1755" s="3"/>
      <c r="F1755" s="3"/>
      <c r="G1755" s="3"/>
      <c r="H1755" s="3"/>
      <c r="I1755" s="3"/>
      <c r="J1755" s="3"/>
    </row>
    <row r="1756" spans="4:10" s="22" customFormat="1" x14ac:dyDescent="0.35">
      <c r="D1756" s="3"/>
      <c r="E1756" s="3"/>
      <c r="F1756" s="3"/>
      <c r="G1756" s="3"/>
      <c r="H1756" s="3"/>
      <c r="I1756" s="3"/>
      <c r="J1756" s="3"/>
    </row>
    <row r="1757" spans="4:10" s="22" customFormat="1" x14ac:dyDescent="0.35">
      <c r="D1757" s="3"/>
      <c r="E1757" s="3"/>
      <c r="F1757" s="3"/>
      <c r="G1757" s="3"/>
      <c r="H1757" s="3"/>
      <c r="I1757" s="3"/>
      <c r="J1757" s="3"/>
    </row>
    <row r="1758" spans="4:10" s="22" customFormat="1" x14ac:dyDescent="0.35">
      <c r="D1758" s="3" t="s">
        <v>377</v>
      </c>
      <c r="E1758" s="3"/>
      <c r="F1758" s="3"/>
      <c r="G1758" s="3"/>
      <c r="H1758" s="3"/>
      <c r="I1758" s="3"/>
      <c r="J1758" s="3"/>
    </row>
    <row r="1759" spans="4:10" s="22" customFormat="1" x14ac:dyDescent="0.35">
      <c r="D1759" s="3"/>
      <c r="E1759" s="3"/>
      <c r="F1759" s="3"/>
      <c r="G1759" s="3"/>
      <c r="H1759" s="3"/>
      <c r="I1759" s="3"/>
      <c r="J1759" s="3"/>
    </row>
    <row r="1760" spans="4:10" s="22" customFormat="1" x14ac:dyDescent="0.35">
      <c r="D1760" s="3"/>
      <c r="E1760" s="3"/>
      <c r="F1760" s="3"/>
      <c r="G1760" s="3"/>
      <c r="H1760" s="3"/>
      <c r="I1760" s="3"/>
      <c r="J1760" s="3"/>
    </row>
    <row r="1761" spans="4:10" s="22" customFormat="1" x14ac:dyDescent="0.35">
      <c r="D1761" s="3"/>
      <c r="E1761" s="3"/>
      <c r="F1761" s="3"/>
      <c r="G1761" s="3"/>
      <c r="H1761" s="3"/>
      <c r="I1761" s="3"/>
      <c r="J1761" s="3"/>
    </row>
    <row r="1762" spans="4:10" s="22" customFormat="1" x14ac:dyDescent="0.35">
      <c r="D1762" s="3"/>
      <c r="E1762" s="3"/>
      <c r="F1762" s="3"/>
      <c r="G1762" s="3"/>
      <c r="H1762" s="3"/>
      <c r="I1762" s="3"/>
      <c r="J1762" s="3"/>
    </row>
    <row r="1763" spans="4:10" s="22" customFormat="1" x14ac:dyDescent="0.35">
      <c r="D1763" s="3"/>
      <c r="E1763" s="3"/>
      <c r="F1763" s="3"/>
      <c r="G1763" s="3"/>
      <c r="H1763" s="3"/>
      <c r="I1763" s="3"/>
      <c r="J1763" s="3"/>
    </row>
    <row r="1764" spans="4:10" s="22" customFormat="1" x14ac:dyDescent="0.35">
      <c r="D1764" s="3"/>
      <c r="E1764" s="3"/>
      <c r="F1764" s="3"/>
      <c r="G1764" s="3"/>
      <c r="H1764" s="3"/>
      <c r="I1764" s="3"/>
      <c r="J1764" s="3"/>
    </row>
    <row r="1765" spans="4:10" s="22" customFormat="1" x14ac:dyDescent="0.35">
      <c r="D1765" s="3"/>
      <c r="E1765" s="3"/>
      <c r="F1765" s="3"/>
      <c r="G1765" s="3"/>
      <c r="H1765" s="3"/>
      <c r="I1765" s="3"/>
      <c r="J1765" s="3"/>
    </row>
    <row r="1766" spans="4:10" s="22" customFormat="1" x14ac:dyDescent="0.35">
      <c r="D1766" s="3"/>
      <c r="E1766" s="3"/>
      <c r="F1766" s="3"/>
      <c r="G1766" s="3"/>
      <c r="H1766" s="3"/>
      <c r="I1766" s="3"/>
      <c r="J1766" s="3"/>
    </row>
    <row r="1767" spans="4:10" s="22" customFormat="1" x14ac:dyDescent="0.35">
      <c r="D1767" s="3"/>
      <c r="E1767" s="3"/>
      <c r="F1767" s="3"/>
      <c r="G1767" s="3"/>
      <c r="H1767" s="3"/>
      <c r="I1767" s="3"/>
      <c r="J1767" s="3"/>
    </row>
    <row r="1768" spans="4:10" s="22" customFormat="1" x14ac:dyDescent="0.35">
      <c r="D1768" s="3"/>
      <c r="E1768" s="3"/>
      <c r="F1768" s="3"/>
      <c r="G1768" s="3"/>
      <c r="H1768" s="3"/>
      <c r="I1768" s="3"/>
      <c r="J1768" s="3"/>
    </row>
    <row r="1769" spans="4:10" s="22" customFormat="1" x14ac:dyDescent="0.35">
      <c r="D1769" s="3" t="s">
        <v>378</v>
      </c>
      <c r="E1769" s="3"/>
      <c r="F1769" s="3"/>
      <c r="G1769" s="3"/>
      <c r="H1769" s="3"/>
      <c r="I1769" s="3"/>
      <c r="J1769" s="3"/>
    </row>
    <row r="1770" spans="4:10" s="22" customFormat="1" x14ac:dyDescent="0.35">
      <c r="D1770" s="3" t="s">
        <v>379</v>
      </c>
      <c r="E1770" s="3"/>
      <c r="F1770" s="3"/>
      <c r="G1770" s="3"/>
      <c r="H1770" s="3"/>
      <c r="I1770" s="3"/>
      <c r="J1770" s="3"/>
    </row>
    <row r="1771" spans="4:10" s="22" customFormat="1" x14ac:dyDescent="0.35">
      <c r="D1771" s="3" t="s">
        <v>380</v>
      </c>
      <c r="E1771" s="3"/>
      <c r="F1771" s="3"/>
      <c r="G1771" s="3"/>
      <c r="H1771" s="3"/>
      <c r="I1771" s="3"/>
      <c r="J1771" s="3"/>
    </row>
    <row r="1772" spans="4:10" s="22" customFormat="1" x14ac:dyDescent="0.35">
      <c r="D1772" s="3" t="s">
        <v>381</v>
      </c>
      <c r="E1772" s="3"/>
      <c r="F1772" s="3"/>
      <c r="G1772" s="3"/>
      <c r="H1772" s="3"/>
      <c r="I1772" s="3"/>
      <c r="J1772" s="3"/>
    </row>
    <row r="1773" spans="4:10" s="22" customFormat="1" x14ac:dyDescent="0.35">
      <c r="D1773" s="3" t="s">
        <v>382</v>
      </c>
      <c r="E1773" s="3"/>
      <c r="F1773" s="3"/>
      <c r="G1773" s="3"/>
      <c r="H1773" s="3"/>
      <c r="I1773" s="3"/>
      <c r="J1773" s="3"/>
    </row>
    <row r="1774" spans="4:10" s="22" customFormat="1" x14ac:dyDescent="0.35">
      <c r="D1774" s="3" t="s">
        <v>383</v>
      </c>
      <c r="E1774" s="3"/>
      <c r="F1774" s="3"/>
      <c r="G1774" s="3"/>
      <c r="H1774" s="3"/>
      <c r="I1774" s="3"/>
      <c r="J1774" s="3"/>
    </row>
    <row r="1775" spans="4:10" s="22" customFormat="1" x14ac:dyDescent="0.35">
      <c r="D1775" s="3" t="s">
        <v>384</v>
      </c>
      <c r="E1775" s="3"/>
      <c r="F1775" s="3"/>
      <c r="G1775" s="3"/>
      <c r="H1775" s="3"/>
      <c r="I1775" s="3"/>
      <c r="J1775" s="3"/>
    </row>
    <row r="1776" spans="4:10" s="22" customFormat="1" x14ac:dyDescent="0.35">
      <c r="D1776" s="3" t="s">
        <v>385</v>
      </c>
      <c r="E1776" s="3"/>
      <c r="F1776" s="3"/>
      <c r="G1776" s="3"/>
      <c r="H1776" s="3"/>
      <c r="I1776" s="3"/>
      <c r="J1776" s="3"/>
    </row>
    <row r="1777" spans="4:10" s="22" customFormat="1" x14ac:dyDescent="0.35">
      <c r="D1777" s="3" t="s">
        <v>386</v>
      </c>
      <c r="E1777" s="3"/>
      <c r="F1777" s="3"/>
      <c r="G1777" s="3"/>
      <c r="H1777" s="3"/>
      <c r="I1777" s="3"/>
      <c r="J1777" s="3"/>
    </row>
    <row r="1778" spans="4:10" s="22" customFormat="1" x14ac:dyDescent="0.35">
      <c r="D1778" s="3" t="s">
        <v>387</v>
      </c>
      <c r="E1778" s="3"/>
      <c r="F1778" s="3"/>
      <c r="G1778" s="3"/>
      <c r="H1778" s="3"/>
      <c r="I1778" s="3"/>
      <c r="J1778" s="3"/>
    </row>
    <row r="1779" spans="4:10" s="22" customFormat="1" x14ac:dyDescent="0.35">
      <c r="D1779" s="3" t="s">
        <v>388</v>
      </c>
      <c r="E1779" s="3"/>
      <c r="F1779" s="3"/>
      <c r="G1779" s="3"/>
      <c r="H1779" s="3"/>
      <c r="I1779" s="3"/>
      <c r="J1779" s="3"/>
    </row>
    <row r="1780" spans="4:10" s="22" customFormat="1" x14ac:dyDescent="0.35">
      <c r="D1780" s="3" t="s">
        <v>273</v>
      </c>
      <c r="E1780" s="3"/>
      <c r="F1780" s="3"/>
      <c r="G1780" s="3"/>
      <c r="H1780" s="3"/>
      <c r="I1780" s="3"/>
      <c r="J1780" s="3"/>
    </row>
    <row r="1781" spans="4:10" s="22" customFormat="1" x14ac:dyDescent="0.35">
      <c r="D1781" s="3" t="s">
        <v>389</v>
      </c>
      <c r="E1781" s="3"/>
      <c r="F1781" s="3"/>
      <c r="G1781" s="3"/>
      <c r="H1781" s="3"/>
      <c r="I1781" s="3"/>
      <c r="J1781" s="3"/>
    </row>
    <row r="1782" spans="4:10" s="22" customFormat="1" x14ac:dyDescent="0.35">
      <c r="D1782" s="3"/>
      <c r="E1782" s="3"/>
      <c r="F1782" s="3"/>
      <c r="G1782" s="3"/>
      <c r="H1782" s="3"/>
      <c r="I1782" s="3"/>
      <c r="J1782" s="3"/>
    </row>
    <row r="1783" spans="4:10" s="22" customFormat="1" x14ac:dyDescent="0.35">
      <c r="D1783" s="3"/>
      <c r="E1783" s="3"/>
      <c r="F1783" s="3"/>
      <c r="G1783" s="3"/>
      <c r="H1783" s="3"/>
      <c r="I1783" s="3"/>
      <c r="J1783" s="3"/>
    </row>
    <row r="1784" spans="4:10" s="22" customFormat="1" x14ac:dyDescent="0.35">
      <c r="D1784" s="3"/>
      <c r="E1784" s="3"/>
      <c r="F1784" s="3"/>
      <c r="G1784" s="3"/>
      <c r="H1784" s="3"/>
      <c r="I1784" s="3"/>
      <c r="J1784" s="3"/>
    </row>
    <row r="1785" spans="4:10" s="22" customFormat="1" x14ac:dyDescent="0.35">
      <c r="D1785" s="3"/>
      <c r="E1785" s="3"/>
      <c r="F1785" s="3"/>
      <c r="G1785" s="3"/>
      <c r="H1785" s="3"/>
      <c r="I1785" s="3"/>
      <c r="J1785" s="3"/>
    </row>
    <row r="1786" spans="4:10" s="22" customFormat="1" x14ac:dyDescent="0.35">
      <c r="D1786" s="3"/>
      <c r="E1786" s="3"/>
      <c r="F1786" s="3"/>
      <c r="G1786" s="3"/>
      <c r="H1786" s="3"/>
      <c r="I1786" s="3"/>
      <c r="J1786" s="3"/>
    </row>
    <row r="1787" spans="4:10" s="22" customFormat="1" x14ac:dyDescent="0.35">
      <c r="D1787" s="3"/>
      <c r="E1787" s="3"/>
      <c r="F1787" s="3"/>
      <c r="G1787" s="3"/>
      <c r="H1787" s="3"/>
      <c r="I1787" s="3"/>
      <c r="J1787" s="3"/>
    </row>
    <row r="1788" spans="4:10" s="22" customFormat="1" x14ac:dyDescent="0.35">
      <c r="D1788" s="3"/>
      <c r="E1788" s="3"/>
      <c r="F1788" s="3"/>
      <c r="G1788" s="3"/>
      <c r="H1788" s="3"/>
      <c r="I1788" s="3"/>
      <c r="J1788" s="3"/>
    </row>
    <row r="1789" spans="4:10" s="22" customFormat="1" x14ac:dyDescent="0.35">
      <c r="D1789" s="3"/>
      <c r="E1789" s="3"/>
      <c r="F1789" s="3"/>
      <c r="G1789" s="3"/>
      <c r="H1789" s="3"/>
      <c r="I1789" s="3"/>
      <c r="J1789" s="3"/>
    </row>
    <row r="1790" spans="4:10" s="22" customFormat="1" x14ac:dyDescent="0.35">
      <c r="D1790" s="3"/>
      <c r="E1790" s="3"/>
      <c r="F1790" s="3"/>
      <c r="G1790" s="3"/>
      <c r="H1790" s="3"/>
      <c r="I1790" s="3"/>
      <c r="J1790" s="3"/>
    </row>
    <row r="1791" spans="4:10" s="22" customFormat="1" x14ac:dyDescent="0.35">
      <c r="D1791" s="3"/>
      <c r="E1791" s="3"/>
      <c r="F1791" s="3"/>
      <c r="G1791" s="3"/>
      <c r="H1791" s="3"/>
      <c r="I1791" s="3"/>
      <c r="J1791" s="3"/>
    </row>
    <row r="1792" spans="4:10" s="22" customFormat="1" x14ac:dyDescent="0.35">
      <c r="D1792" s="3"/>
      <c r="E1792" s="3"/>
      <c r="F1792" s="3"/>
      <c r="G1792" s="3"/>
      <c r="H1792" s="3"/>
      <c r="I1792" s="3"/>
      <c r="J1792" s="3"/>
    </row>
    <row r="1793" spans="4:10" s="22" customFormat="1" x14ac:dyDescent="0.35">
      <c r="D1793" s="3"/>
      <c r="E1793" s="3"/>
      <c r="F1793" s="3"/>
      <c r="G1793" s="3"/>
      <c r="H1793" s="3"/>
      <c r="I1793" s="3"/>
      <c r="J1793" s="3"/>
    </row>
    <row r="1794" spans="4:10" s="22" customFormat="1" x14ac:dyDescent="0.35">
      <c r="D1794" s="3"/>
      <c r="E1794" s="3"/>
      <c r="F1794" s="3"/>
      <c r="G1794" s="3"/>
      <c r="H1794" s="3"/>
      <c r="I1794" s="3"/>
      <c r="J1794" s="3"/>
    </row>
    <row r="1795" spans="4:10" s="22" customFormat="1" x14ac:dyDescent="0.35">
      <c r="D1795" s="3"/>
      <c r="E1795" s="3"/>
      <c r="F1795" s="3"/>
      <c r="G1795" s="3"/>
      <c r="H1795" s="3"/>
      <c r="I1795" s="3"/>
      <c r="J1795" s="3"/>
    </row>
    <row r="1796" spans="4:10" s="22" customFormat="1" x14ac:dyDescent="0.35">
      <c r="D1796" s="3"/>
      <c r="E1796" s="3"/>
      <c r="F1796" s="3"/>
      <c r="G1796" s="3"/>
      <c r="H1796" s="3"/>
      <c r="I1796" s="3"/>
      <c r="J1796" s="3"/>
    </row>
    <row r="1797" spans="4:10" s="22" customFormat="1" x14ac:dyDescent="0.35">
      <c r="D1797" s="3"/>
      <c r="E1797" s="3"/>
      <c r="F1797" s="3"/>
      <c r="G1797" s="3"/>
      <c r="H1797" s="3"/>
      <c r="I1797" s="3"/>
      <c r="J1797" s="3"/>
    </row>
    <row r="1798" spans="4:10" s="22" customFormat="1" x14ac:dyDescent="0.35">
      <c r="D1798" s="3"/>
      <c r="E1798" s="3"/>
      <c r="F1798" s="3"/>
      <c r="G1798" s="3"/>
      <c r="H1798" s="3"/>
      <c r="I1798" s="3"/>
      <c r="J1798" s="3"/>
    </row>
    <row r="1799" spans="4:10" s="22" customFormat="1" x14ac:dyDescent="0.35">
      <c r="D1799" s="3"/>
      <c r="E1799" s="3"/>
      <c r="F1799" s="3"/>
      <c r="G1799" s="3"/>
      <c r="H1799" s="3"/>
      <c r="I1799" s="3"/>
      <c r="J1799" s="3"/>
    </row>
    <row r="1800" spans="4:10" s="22" customFormat="1" x14ac:dyDescent="0.35">
      <c r="D1800" s="3"/>
      <c r="E1800" s="3"/>
      <c r="F1800" s="3"/>
      <c r="G1800" s="3"/>
      <c r="H1800" s="3"/>
      <c r="I1800" s="3"/>
      <c r="J1800" s="3"/>
    </row>
    <row r="1801" spans="4:10" s="22" customFormat="1" x14ac:dyDescent="0.35">
      <c r="D1801" s="3"/>
      <c r="E1801" s="3"/>
      <c r="F1801" s="3"/>
      <c r="G1801" s="3"/>
      <c r="H1801" s="3"/>
      <c r="I1801" s="3"/>
      <c r="J1801" s="3"/>
    </row>
    <row r="1802" spans="4:10" s="22" customFormat="1" x14ac:dyDescent="0.35">
      <c r="D1802" s="3"/>
      <c r="E1802" s="3"/>
      <c r="F1802" s="3"/>
      <c r="G1802" s="3"/>
      <c r="H1802" s="3"/>
      <c r="I1802" s="3"/>
      <c r="J1802" s="3"/>
    </row>
    <row r="1803" spans="4:10" s="22" customFormat="1" x14ac:dyDescent="0.35">
      <c r="D1803" s="3"/>
      <c r="E1803" s="3"/>
      <c r="F1803" s="3"/>
      <c r="G1803" s="3"/>
      <c r="H1803" s="3"/>
      <c r="I1803" s="3"/>
      <c r="J1803" s="3"/>
    </row>
    <row r="1804" spans="4:10" s="22" customFormat="1" x14ac:dyDescent="0.35">
      <c r="D1804" s="3"/>
      <c r="E1804" s="3"/>
      <c r="F1804" s="3"/>
      <c r="G1804" s="3"/>
      <c r="H1804" s="3"/>
      <c r="I1804" s="3"/>
      <c r="J1804" s="3"/>
    </row>
    <row r="1805" spans="4:10" s="22" customFormat="1" x14ac:dyDescent="0.35">
      <c r="D1805" s="3"/>
      <c r="E1805" s="3"/>
      <c r="F1805" s="3"/>
      <c r="G1805" s="3"/>
      <c r="H1805" s="3"/>
      <c r="I1805" s="3"/>
      <c r="J1805" s="3"/>
    </row>
    <row r="1806" spans="4:10" s="22" customFormat="1" x14ac:dyDescent="0.35">
      <c r="D1806" s="3"/>
      <c r="E1806" s="3"/>
      <c r="F1806" s="3"/>
      <c r="G1806" s="3"/>
      <c r="H1806" s="3"/>
      <c r="I1806" s="3"/>
      <c r="J1806" s="3"/>
    </row>
    <row r="1807" spans="4:10" s="22" customFormat="1" x14ac:dyDescent="0.35">
      <c r="D1807" s="3"/>
      <c r="E1807" s="3"/>
      <c r="F1807" s="3"/>
      <c r="G1807" s="3"/>
      <c r="H1807" s="3"/>
      <c r="I1807" s="3"/>
      <c r="J1807" s="3"/>
    </row>
    <row r="1808" spans="4:10" s="22" customFormat="1" x14ac:dyDescent="0.35">
      <c r="D1808" s="3"/>
      <c r="E1808" s="3"/>
      <c r="F1808" s="3"/>
      <c r="G1808" s="3"/>
      <c r="H1808" s="3"/>
      <c r="I1808" s="3"/>
      <c r="J1808" s="3"/>
    </row>
    <row r="1809" spans="4:10" s="22" customFormat="1" x14ac:dyDescent="0.35">
      <c r="D1809" s="3"/>
      <c r="E1809" s="3"/>
      <c r="F1809" s="3"/>
      <c r="G1809" s="3"/>
      <c r="H1809" s="3"/>
      <c r="I1809" s="3"/>
      <c r="J1809" s="3"/>
    </row>
    <row r="1810" spans="4:10" s="22" customFormat="1" x14ac:dyDescent="0.35">
      <c r="D1810" s="3"/>
      <c r="E1810" s="3"/>
      <c r="F1810" s="3"/>
      <c r="G1810" s="3"/>
      <c r="H1810" s="3"/>
      <c r="I1810" s="3"/>
      <c r="J1810" s="3"/>
    </row>
    <row r="1811" spans="4:10" s="22" customFormat="1" x14ac:dyDescent="0.35">
      <c r="D1811" s="3"/>
      <c r="E1811" s="3"/>
      <c r="F1811" s="3"/>
      <c r="G1811" s="3"/>
      <c r="H1811" s="3"/>
      <c r="I1811" s="3"/>
      <c r="J1811" s="3"/>
    </row>
    <row r="1812" spans="4:10" s="22" customFormat="1" x14ac:dyDescent="0.35">
      <c r="D1812" s="3"/>
      <c r="E1812" s="3"/>
      <c r="F1812" s="3"/>
      <c r="G1812" s="3"/>
      <c r="H1812" s="3"/>
      <c r="I1812" s="3"/>
      <c r="J1812" s="3"/>
    </row>
    <row r="1813" spans="4:10" s="22" customFormat="1" x14ac:dyDescent="0.35">
      <c r="D1813" s="3"/>
      <c r="E1813" s="3"/>
      <c r="F1813" s="3"/>
      <c r="G1813" s="3"/>
      <c r="H1813" s="3"/>
      <c r="I1813" s="3"/>
      <c r="J1813" s="3"/>
    </row>
    <row r="1814" spans="4:10" s="22" customFormat="1" x14ac:dyDescent="0.35">
      <c r="D1814" s="3"/>
      <c r="E1814" s="3"/>
      <c r="F1814" s="3"/>
      <c r="G1814" s="3"/>
      <c r="H1814" s="3"/>
      <c r="I1814" s="3"/>
      <c r="J1814" s="3"/>
    </row>
    <row r="1815" spans="4:10" s="22" customFormat="1" x14ac:dyDescent="0.35">
      <c r="D1815" s="3"/>
      <c r="E1815" s="3"/>
      <c r="F1815" s="3"/>
      <c r="G1815" s="3"/>
      <c r="H1815" s="3"/>
      <c r="I1815" s="3"/>
      <c r="J1815" s="3"/>
    </row>
    <row r="1816" spans="4:10" s="22" customFormat="1" x14ac:dyDescent="0.35">
      <c r="D1816" s="3"/>
      <c r="E1816" s="3"/>
      <c r="F1816" s="3"/>
      <c r="G1816" s="3"/>
      <c r="H1816" s="3"/>
      <c r="I1816" s="3"/>
      <c r="J1816" s="3"/>
    </row>
    <row r="1817" spans="4:10" s="22" customFormat="1" x14ac:dyDescent="0.35">
      <c r="D1817" s="3"/>
      <c r="E1817" s="3"/>
      <c r="F1817" s="3"/>
      <c r="G1817" s="3"/>
      <c r="H1817" s="3"/>
      <c r="I1817" s="3"/>
      <c r="J1817" s="3"/>
    </row>
    <row r="1818" spans="4:10" s="22" customFormat="1" x14ac:dyDescent="0.35">
      <c r="D1818" s="3"/>
      <c r="E1818" s="3"/>
      <c r="F1818" s="3"/>
      <c r="G1818" s="3"/>
      <c r="H1818" s="3"/>
      <c r="I1818" s="3"/>
      <c r="J1818" s="3"/>
    </row>
    <row r="1819" spans="4:10" s="22" customFormat="1" x14ac:dyDescent="0.35">
      <c r="D1819" s="3"/>
      <c r="E1819" s="3"/>
      <c r="F1819" s="3"/>
      <c r="G1819" s="3"/>
      <c r="H1819" s="3"/>
      <c r="I1819" s="3"/>
      <c r="J1819" s="3"/>
    </row>
    <row r="1820" spans="4:10" s="22" customFormat="1" x14ac:dyDescent="0.35">
      <c r="D1820" s="3"/>
      <c r="E1820" s="3"/>
      <c r="F1820" s="3"/>
      <c r="G1820" s="3"/>
      <c r="H1820" s="3"/>
      <c r="I1820" s="3"/>
      <c r="J1820" s="3"/>
    </row>
    <row r="1821" spans="4:10" s="22" customFormat="1" x14ac:dyDescent="0.35">
      <c r="D1821" s="3"/>
      <c r="E1821" s="3"/>
      <c r="F1821" s="3"/>
      <c r="G1821" s="3"/>
      <c r="H1821" s="3"/>
      <c r="I1821" s="3"/>
      <c r="J1821" s="3"/>
    </row>
    <row r="1822" spans="4:10" s="22" customFormat="1" x14ac:dyDescent="0.35">
      <c r="D1822" s="3"/>
      <c r="E1822" s="3"/>
      <c r="F1822" s="3"/>
      <c r="G1822" s="3"/>
      <c r="H1822" s="3"/>
      <c r="I1822" s="3"/>
      <c r="J1822" s="3"/>
    </row>
    <row r="1823" spans="4:10" s="22" customFormat="1" x14ac:dyDescent="0.35">
      <c r="D1823" s="3"/>
      <c r="E1823" s="3"/>
      <c r="F1823" s="3"/>
      <c r="G1823" s="3"/>
      <c r="H1823" s="3"/>
      <c r="I1823" s="3"/>
      <c r="J1823" s="3"/>
    </row>
    <row r="1824" spans="4:10" s="22" customFormat="1" x14ac:dyDescent="0.35">
      <c r="D1824" s="3"/>
      <c r="E1824" s="3"/>
      <c r="F1824" s="3"/>
      <c r="G1824" s="3"/>
      <c r="H1824" s="3"/>
      <c r="I1824" s="3"/>
      <c r="J1824" s="3"/>
    </row>
    <row r="1825" spans="4:10" s="22" customFormat="1" x14ac:dyDescent="0.35">
      <c r="D1825" s="3"/>
      <c r="E1825" s="3"/>
      <c r="F1825" s="3"/>
      <c r="G1825" s="3"/>
      <c r="H1825" s="3"/>
      <c r="I1825" s="3"/>
      <c r="J1825" s="3"/>
    </row>
    <row r="1826" spans="4:10" s="22" customFormat="1" x14ac:dyDescent="0.35">
      <c r="D1826" s="3"/>
      <c r="E1826" s="3"/>
      <c r="F1826" s="3"/>
      <c r="G1826" s="3"/>
      <c r="H1826" s="3"/>
      <c r="I1826" s="3"/>
      <c r="J1826" s="3"/>
    </row>
    <row r="1827" spans="4:10" s="22" customFormat="1" x14ac:dyDescent="0.35">
      <c r="D1827" s="3"/>
      <c r="E1827" s="3"/>
      <c r="F1827" s="3"/>
      <c r="G1827" s="3"/>
      <c r="H1827" s="3"/>
      <c r="I1827" s="3"/>
      <c r="J1827" s="3"/>
    </row>
    <row r="1828" spans="4:10" s="22" customFormat="1" x14ac:dyDescent="0.35">
      <c r="D1828" s="3"/>
      <c r="E1828" s="3"/>
      <c r="F1828" s="3"/>
      <c r="G1828" s="3"/>
      <c r="H1828" s="3"/>
      <c r="I1828" s="3"/>
      <c r="J1828" s="3"/>
    </row>
    <row r="1829" spans="4:10" s="22" customFormat="1" x14ac:dyDescent="0.35">
      <c r="D1829" s="3"/>
      <c r="E1829" s="3"/>
      <c r="F1829" s="3"/>
      <c r="G1829" s="3"/>
      <c r="H1829" s="3"/>
      <c r="I1829" s="3"/>
      <c r="J1829" s="3"/>
    </row>
    <row r="1830" spans="4:10" s="22" customFormat="1" x14ac:dyDescent="0.35">
      <c r="D1830" s="3"/>
      <c r="E1830" s="3"/>
      <c r="F1830" s="3"/>
      <c r="G1830" s="3"/>
      <c r="H1830" s="3"/>
      <c r="I1830" s="3"/>
      <c r="J1830" s="3"/>
    </row>
    <row r="1831" spans="4:10" s="22" customFormat="1" x14ac:dyDescent="0.35">
      <c r="D1831" s="3"/>
      <c r="E1831" s="3"/>
      <c r="F1831" s="3"/>
      <c r="G1831" s="3"/>
      <c r="H1831" s="3"/>
      <c r="I1831" s="3"/>
      <c r="J1831" s="3"/>
    </row>
    <row r="1832" spans="4:10" s="22" customFormat="1" x14ac:dyDescent="0.35">
      <c r="D1832" s="3"/>
      <c r="E1832" s="3"/>
      <c r="F1832" s="3"/>
      <c r="G1832" s="3"/>
      <c r="H1832" s="3"/>
      <c r="I1832" s="3"/>
      <c r="J1832" s="3"/>
    </row>
    <row r="1833" spans="4:10" s="22" customFormat="1" x14ac:dyDescent="0.35">
      <c r="D1833" s="3"/>
      <c r="E1833" s="3"/>
      <c r="F1833" s="3"/>
      <c r="G1833" s="3"/>
      <c r="H1833" s="3"/>
      <c r="I1833" s="3"/>
      <c r="J1833" s="3"/>
    </row>
    <row r="1834" spans="4:10" s="22" customFormat="1" x14ac:dyDescent="0.35">
      <c r="D1834" s="3"/>
      <c r="E1834" s="3"/>
      <c r="F1834" s="3"/>
      <c r="G1834" s="3"/>
      <c r="H1834" s="3"/>
      <c r="I1834" s="3"/>
      <c r="J1834" s="3"/>
    </row>
    <row r="1835" spans="4:10" s="22" customFormat="1" x14ac:dyDescent="0.35">
      <c r="D1835" s="3"/>
      <c r="E1835" s="3"/>
      <c r="F1835" s="3"/>
      <c r="G1835" s="3"/>
      <c r="H1835" s="3"/>
      <c r="I1835" s="3"/>
      <c r="J1835" s="3"/>
    </row>
    <row r="1836" spans="4:10" s="22" customFormat="1" x14ac:dyDescent="0.35">
      <c r="D1836" s="3"/>
      <c r="E1836" s="3"/>
      <c r="F1836" s="3"/>
      <c r="G1836" s="3"/>
      <c r="H1836" s="3"/>
      <c r="I1836" s="3"/>
      <c r="J1836" s="3"/>
    </row>
    <row r="1837" spans="4:10" s="22" customFormat="1" x14ac:dyDescent="0.35">
      <c r="D1837" s="3"/>
      <c r="E1837" s="3"/>
      <c r="F1837" s="3"/>
      <c r="G1837" s="3"/>
      <c r="H1837" s="3"/>
      <c r="I1837" s="3"/>
      <c r="J1837" s="3"/>
    </row>
    <row r="1838" spans="4:10" s="22" customFormat="1" x14ac:dyDescent="0.35">
      <c r="D1838" s="3"/>
      <c r="E1838" s="3"/>
      <c r="F1838" s="3"/>
      <c r="G1838" s="3"/>
      <c r="H1838" s="3"/>
      <c r="I1838" s="3"/>
      <c r="J1838" s="3"/>
    </row>
    <row r="1839" spans="4:10" s="22" customFormat="1" x14ac:dyDescent="0.35">
      <c r="D1839" s="3"/>
      <c r="E1839" s="3"/>
      <c r="F1839" s="3"/>
      <c r="G1839" s="3"/>
      <c r="H1839" s="3"/>
      <c r="I1839" s="3"/>
      <c r="J1839" s="3"/>
    </row>
    <row r="1840" spans="4:10" s="22" customFormat="1" x14ac:dyDescent="0.35">
      <c r="D1840" s="3"/>
      <c r="E1840" s="3"/>
      <c r="F1840" s="3"/>
      <c r="G1840" s="3"/>
      <c r="H1840" s="3"/>
      <c r="I1840" s="3"/>
      <c r="J1840" s="3"/>
    </row>
    <row r="1841" spans="4:10" s="22" customFormat="1" x14ac:dyDescent="0.35">
      <c r="D1841" s="3"/>
      <c r="E1841" s="3"/>
      <c r="F1841" s="3"/>
      <c r="G1841" s="3"/>
      <c r="H1841" s="3"/>
      <c r="I1841" s="3"/>
      <c r="J1841" s="3"/>
    </row>
    <row r="1842" spans="4:10" s="22" customFormat="1" x14ac:dyDescent="0.35">
      <c r="D1842" s="3"/>
      <c r="E1842" s="3"/>
      <c r="F1842" s="3"/>
      <c r="G1842" s="3"/>
      <c r="H1842" s="3"/>
      <c r="I1842" s="3"/>
      <c r="J1842" s="3"/>
    </row>
    <row r="1843" spans="4:10" s="22" customFormat="1" x14ac:dyDescent="0.35">
      <c r="D1843" s="3"/>
      <c r="E1843" s="3"/>
      <c r="F1843" s="3"/>
      <c r="G1843" s="3"/>
      <c r="H1843" s="3"/>
      <c r="I1843" s="3"/>
      <c r="J1843" s="3"/>
    </row>
    <row r="1844" spans="4:10" s="22" customFormat="1" x14ac:dyDescent="0.35">
      <c r="D1844" s="3"/>
      <c r="E1844" s="3"/>
      <c r="F1844" s="3"/>
      <c r="G1844" s="3"/>
      <c r="H1844" s="3"/>
      <c r="I1844" s="3"/>
      <c r="J1844" s="3"/>
    </row>
    <row r="1845" spans="4:10" s="22" customFormat="1" x14ac:dyDescent="0.35">
      <c r="D1845" s="3"/>
      <c r="E1845" s="3"/>
      <c r="F1845" s="3"/>
      <c r="G1845" s="3"/>
      <c r="H1845" s="3"/>
      <c r="I1845" s="3"/>
      <c r="J1845" s="3"/>
    </row>
    <row r="1846" spans="4:10" s="22" customFormat="1" x14ac:dyDescent="0.35">
      <c r="D1846" s="3"/>
      <c r="E1846" s="3"/>
      <c r="F1846" s="3"/>
      <c r="G1846" s="3"/>
      <c r="H1846" s="3"/>
      <c r="I1846" s="3"/>
      <c r="J1846" s="3"/>
    </row>
    <row r="1847" spans="4:10" s="22" customFormat="1" x14ac:dyDescent="0.35">
      <c r="D1847" s="3"/>
      <c r="E1847" s="3"/>
      <c r="F1847" s="3"/>
      <c r="G1847" s="3"/>
      <c r="H1847" s="3"/>
      <c r="I1847" s="3"/>
      <c r="J1847" s="3"/>
    </row>
    <row r="1848" spans="4:10" s="22" customFormat="1" x14ac:dyDescent="0.35">
      <c r="D1848" s="3"/>
      <c r="E1848" s="3"/>
      <c r="F1848" s="3"/>
      <c r="G1848" s="3"/>
      <c r="H1848" s="3"/>
      <c r="I1848" s="3"/>
      <c r="J1848" s="3"/>
    </row>
    <row r="1849" spans="4:10" s="22" customFormat="1" x14ac:dyDescent="0.35">
      <c r="D1849" s="3"/>
      <c r="E1849" s="3"/>
      <c r="F1849" s="3"/>
      <c r="G1849" s="3"/>
      <c r="H1849" s="3"/>
      <c r="I1849" s="3"/>
      <c r="J1849" s="3"/>
    </row>
    <row r="1850" spans="4:10" s="22" customFormat="1" x14ac:dyDescent="0.35">
      <c r="D1850" s="3"/>
      <c r="E1850" s="3"/>
      <c r="F1850" s="3"/>
      <c r="G1850" s="3"/>
      <c r="H1850" s="3"/>
      <c r="I1850" s="3"/>
      <c r="J1850" s="3"/>
    </row>
    <row r="1851" spans="4:10" s="22" customFormat="1" x14ac:dyDescent="0.35">
      <c r="D1851" s="3"/>
      <c r="E1851" s="3"/>
      <c r="F1851" s="3"/>
      <c r="G1851" s="3"/>
      <c r="H1851" s="3"/>
      <c r="I1851" s="3"/>
      <c r="J1851" s="3"/>
    </row>
    <row r="1852" spans="4:10" s="22" customFormat="1" x14ac:dyDescent="0.35">
      <c r="D1852" s="3"/>
      <c r="E1852" s="3"/>
      <c r="F1852" s="3"/>
      <c r="G1852" s="3"/>
      <c r="H1852" s="3"/>
      <c r="I1852" s="3"/>
      <c r="J1852" s="3"/>
    </row>
    <row r="1853" spans="4:10" s="22" customFormat="1" x14ac:dyDescent="0.35">
      <c r="D1853" s="3"/>
      <c r="E1853" s="3"/>
      <c r="F1853" s="3"/>
      <c r="G1853" s="3"/>
      <c r="H1853" s="3"/>
      <c r="I1853" s="3"/>
      <c r="J1853" s="3"/>
    </row>
    <row r="1854" spans="4:10" s="22" customFormat="1" x14ac:dyDescent="0.35">
      <c r="D1854" s="3"/>
      <c r="E1854" s="3"/>
      <c r="F1854" s="3"/>
      <c r="G1854" s="3"/>
      <c r="H1854" s="3"/>
      <c r="I1854" s="3"/>
      <c r="J1854" s="3"/>
    </row>
    <row r="1855" spans="4:10" s="22" customFormat="1" x14ac:dyDescent="0.35">
      <c r="D1855" s="3"/>
      <c r="E1855" s="3"/>
      <c r="F1855" s="3"/>
      <c r="G1855" s="3"/>
      <c r="H1855" s="3"/>
      <c r="I1855" s="3"/>
      <c r="J1855" s="3"/>
    </row>
    <row r="1856" spans="4:10" s="22" customFormat="1" x14ac:dyDescent="0.35">
      <c r="D1856" s="3"/>
      <c r="E1856" s="3"/>
      <c r="F1856" s="3"/>
      <c r="G1856" s="3"/>
      <c r="H1856" s="3"/>
      <c r="I1856" s="3"/>
      <c r="J1856" s="3"/>
    </row>
    <row r="1857" spans="4:10" s="22" customFormat="1" x14ac:dyDescent="0.35">
      <c r="D1857" s="3"/>
      <c r="E1857" s="3"/>
      <c r="F1857" s="3"/>
      <c r="G1857" s="3"/>
      <c r="H1857" s="3"/>
      <c r="I1857" s="3"/>
      <c r="J1857" s="3"/>
    </row>
    <row r="1858" spans="4:10" s="22" customFormat="1" x14ac:dyDescent="0.35">
      <c r="D1858" s="3"/>
      <c r="E1858" s="3"/>
      <c r="F1858" s="3"/>
      <c r="G1858" s="3"/>
      <c r="H1858" s="3"/>
      <c r="I1858" s="3"/>
      <c r="J1858" s="3"/>
    </row>
    <row r="1859" spans="4:10" s="22" customFormat="1" x14ac:dyDescent="0.35">
      <c r="D1859" s="3"/>
      <c r="E1859" s="3"/>
      <c r="F1859" s="3"/>
      <c r="G1859" s="3"/>
      <c r="H1859" s="3"/>
      <c r="I1859" s="3"/>
      <c r="J1859" s="3"/>
    </row>
    <row r="1860" spans="4:10" s="22" customFormat="1" x14ac:dyDescent="0.35">
      <c r="D1860" s="3"/>
      <c r="E1860" s="3"/>
      <c r="F1860" s="3"/>
      <c r="G1860" s="3"/>
      <c r="H1860" s="3"/>
      <c r="I1860" s="3"/>
      <c r="J1860" s="3"/>
    </row>
    <row r="1861" spans="4:10" s="22" customFormat="1" x14ac:dyDescent="0.35">
      <c r="D1861" s="3"/>
      <c r="E1861" s="3"/>
      <c r="F1861" s="3"/>
      <c r="G1861" s="3"/>
      <c r="H1861" s="3"/>
      <c r="I1861" s="3"/>
      <c r="J1861" s="3"/>
    </row>
    <row r="1862" spans="4:10" s="22" customFormat="1" x14ac:dyDescent="0.35">
      <c r="D1862" s="3"/>
      <c r="E1862" s="3"/>
      <c r="F1862" s="3"/>
      <c r="G1862" s="3"/>
      <c r="H1862" s="3"/>
      <c r="I1862" s="3"/>
      <c r="J1862" s="3"/>
    </row>
    <row r="1863" spans="4:10" s="22" customFormat="1" x14ac:dyDescent="0.35">
      <c r="D1863" s="3"/>
      <c r="E1863" s="3"/>
      <c r="F1863" s="3"/>
      <c r="G1863" s="3"/>
      <c r="H1863" s="3"/>
      <c r="I1863" s="3"/>
      <c r="J1863" s="3"/>
    </row>
    <row r="1864" spans="4:10" s="22" customFormat="1" x14ac:dyDescent="0.35">
      <c r="D1864" s="3"/>
      <c r="E1864" s="3"/>
      <c r="F1864" s="3"/>
      <c r="G1864" s="3"/>
      <c r="H1864" s="3"/>
      <c r="I1864" s="3"/>
      <c r="J1864" s="3"/>
    </row>
    <row r="1865" spans="4:10" s="22" customFormat="1" x14ac:dyDescent="0.35">
      <c r="D1865" s="3"/>
      <c r="E1865" s="3"/>
      <c r="F1865" s="3"/>
      <c r="G1865" s="3"/>
      <c r="H1865" s="3"/>
      <c r="I1865" s="3"/>
      <c r="J1865" s="3"/>
    </row>
    <row r="1866" spans="4:10" s="22" customFormat="1" x14ac:dyDescent="0.35">
      <c r="D1866" s="3"/>
      <c r="E1866" s="3"/>
      <c r="F1866" s="3"/>
      <c r="G1866" s="3"/>
      <c r="H1866" s="3"/>
      <c r="I1866" s="3"/>
      <c r="J1866" s="3"/>
    </row>
    <row r="1867" spans="4:10" s="22" customFormat="1" x14ac:dyDescent="0.35">
      <c r="D1867" s="3"/>
      <c r="E1867" s="3"/>
      <c r="F1867" s="3"/>
      <c r="G1867" s="3"/>
      <c r="H1867" s="3"/>
      <c r="I1867" s="3"/>
      <c r="J1867" s="3"/>
    </row>
    <row r="1868" spans="4:10" s="22" customFormat="1" x14ac:dyDescent="0.35">
      <c r="D1868" s="3"/>
      <c r="E1868" s="3"/>
      <c r="F1868" s="3"/>
      <c r="G1868" s="3"/>
      <c r="H1868" s="3"/>
      <c r="I1868" s="3"/>
      <c r="J1868" s="3"/>
    </row>
    <row r="1869" spans="4:10" s="22" customFormat="1" x14ac:dyDescent="0.35">
      <c r="D1869" s="3"/>
      <c r="E1869" s="3"/>
      <c r="F1869" s="3"/>
      <c r="G1869" s="3"/>
      <c r="H1869" s="3"/>
      <c r="I1869" s="3"/>
      <c r="J1869" s="3"/>
    </row>
    <row r="1870" spans="4:10" s="22" customFormat="1" x14ac:dyDescent="0.35">
      <c r="D1870" s="3"/>
      <c r="E1870" s="3"/>
      <c r="F1870" s="3"/>
      <c r="G1870" s="3"/>
      <c r="H1870" s="3"/>
      <c r="I1870" s="3"/>
      <c r="J1870" s="3"/>
    </row>
    <row r="1871" spans="4:10" s="22" customFormat="1" x14ac:dyDescent="0.35">
      <c r="D1871" s="3"/>
      <c r="E1871" s="3"/>
      <c r="F1871" s="3"/>
      <c r="G1871" s="3"/>
      <c r="H1871" s="3"/>
      <c r="I1871" s="3"/>
      <c r="J1871" s="3"/>
    </row>
    <row r="1872" spans="4:10" s="22" customFormat="1" x14ac:dyDescent="0.35">
      <c r="D1872" s="3"/>
      <c r="E1872" s="3"/>
      <c r="F1872" s="3"/>
      <c r="G1872" s="3"/>
      <c r="H1872" s="3"/>
      <c r="I1872" s="3"/>
      <c r="J1872" s="3"/>
    </row>
    <row r="1873" spans="4:10" s="22" customFormat="1" x14ac:dyDescent="0.35">
      <c r="D1873" s="3"/>
      <c r="E1873" s="3"/>
      <c r="F1873" s="3"/>
      <c r="G1873" s="3"/>
      <c r="H1873" s="3"/>
      <c r="I1873" s="3"/>
      <c r="J1873" s="3"/>
    </row>
    <row r="1874" spans="4:10" s="22" customFormat="1" x14ac:dyDescent="0.35">
      <c r="D1874" s="3"/>
      <c r="E1874" s="3"/>
      <c r="F1874" s="3"/>
      <c r="G1874" s="3"/>
      <c r="H1874" s="3"/>
      <c r="I1874" s="3"/>
      <c r="J1874" s="3"/>
    </row>
    <row r="1875" spans="4:10" s="22" customFormat="1" x14ac:dyDescent="0.35">
      <c r="D1875" s="3"/>
      <c r="E1875" s="3"/>
      <c r="F1875" s="3"/>
      <c r="G1875" s="3"/>
      <c r="H1875" s="3"/>
      <c r="I1875" s="3"/>
      <c r="J1875" s="3"/>
    </row>
    <row r="1876" spans="4:10" s="22" customFormat="1" x14ac:dyDescent="0.35">
      <c r="D1876" s="3"/>
      <c r="E1876" s="3"/>
      <c r="F1876" s="3"/>
      <c r="G1876" s="3"/>
      <c r="H1876" s="3"/>
      <c r="I1876" s="3"/>
      <c r="J1876" s="3"/>
    </row>
    <row r="1877" spans="4:10" s="22" customFormat="1" x14ac:dyDescent="0.35">
      <c r="D1877" s="3"/>
      <c r="E1877" s="3"/>
      <c r="F1877" s="3"/>
      <c r="G1877" s="3"/>
      <c r="H1877" s="3"/>
      <c r="I1877" s="3"/>
      <c r="J1877" s="3"/>
    </row>
    <row r="1878" spans="4:10" s="22" customFormat="1" x14ac:dyDescent="0.35">
      <c r="D1878" s="3"/>
      <c r="E1878" s="3"/>
      <c r="F1878" s="3"/>
      <c r="G1878" s="3"/>
      <c r="H1878" s="3"/>
      <c r="I1878" s="3"/>
      <c r="J1878" s="3"/>
    </row>
    <row r="1879" spans="4:10" s="22" customFormat="1" x14ac:dyDescent="0.35">
      <c r="D1879" s="3" t="s">
        <v>390</v>
      </c>
      <c r="E1879" s="3"/>
      <c r="F1879" s="3"/>
      <c r="G1879" s="3"/>
      <c r="H1879" s="3"/>
      <c r="I1879" s="3"/>
      <c r="J1879" s="3"/>
    </row>
    <row r="1880" spans="4:10" s="22" customFormat="1" x14ac:dyDescent="0.35">
      <c r="D1880" s="3" t="s">
        <v>391</v>
      </c>
      <c r="E1880" s="3"/>
      <c r="F1880" s="3"/>
      <c r="G1880" s="3"/>
      <c r="H1880" s="3"/>
      <c r="I1880" s="3"/>
      <c r="J1880" s="3"/>
    </row>
    <row r="1881" spans="4:10" s="22" customFormat="1" x14ac:dyDescent="0.35">
      <c r="D1881" s="3"/>
      <c r="E1881" s="3"/>
      <c r="F1881" s="3"/>
      <c r="G1881" s="3"/>
      <c r="H1881" s="3"/>
      <c r="I1881" s="3"/>
      <c r="J1881" s="3"/>
    </row>
    <row r="1882" spans="4:10" s="22" customFormat="1" x14ac:dyDescent="0.35">
      <c r="D1882" s="3"/>
      <c r="E1882" s="3"/>
      <c r="F1882" s="3"/>
      <c r="G1882" s="3"/>
      <c r="H1882" s="3"/>
      <c r="I1882" s="3"/>
      <c r="J1882" s="3"/>
    </row>
    <row r="1883" spans="4:10" s="22" customFormat="1" x14ac:dyDescent="0.35">
      <c r="D1883" s="3"/>
      <c r="E1883" s="3"/>
      <c r="F1883" s="3"/>
      <c r="G1883" s="3"/>
      <c r="H1883" s="3"/>
      <c r="I1883" s="3"/>
      <c r="J1883" s="3"/>
    </row>
    <row r="1884" spans="4:10" s="22" customFormat="1" x14ac:dyDescent="0.35">
      <c r="D1884" s="3"/>
      <c r="E1884" s="3"/>
      <c r="F1884" s="3"/>
      <c r="G1884" s="3"/>
      <c r="H1884" s="3"/>
      <c r="I1884" s="3"/>
      <c r="J1884" s="3"/>
    </row>
    <row r="1885" spans="4:10" s="22" customFormat="1" x14ac:dyDescent="0.35">
      <c r="D1885" s="3"/>
      <c r="E1885" s="3"/>
      <c r="F1885" s="3"/>
      <c r="G1885" s="3"/>
      <c r="H1885" s="3"/>
      <c r="I1885" s="3"/>
      <c r="J1885" s="3"/>
    </row>
    <row r="1886" spans="4:10" s="22" customFormat="1" x14ac:dyDescent="0.35">
      <c r="D1886" s="3"/>
      <c r="E1886" s="3"/>
      <c r="F1886" s="3"/>
      <c r="G1886" s="3"/>
      <c r="H1886" s="3"/>
      <c r="I1886" s="3"/>
      <c r="J1886" s="3"/>
    </row>
    <row r="1887" spans="4:10" s="22" customFormat="1" x14ac:dyDescent="0.35">
      <c r="D1887" s="3"/>
      <c r="E1887" s="3"/>
      <c r="F1887" s="3"/>
      <c r="G1887" s="3"/>
      <c r="H1887" s="3"/>
      <c r="I1887" s="3"/>
      <c r="J1887" s="3"/>
    </row>
    <row r="1888" spans="4:10" s="22" customFormat="1" x14ac:dyDescent="0.35">
      <c r="D1888" s="3"/>
      <c r="E1888" s="3"/>
      <c r="F1888" s="3"/>
      <c r="G1888" s="3"/>
      <c r="H1888" s="3"/>
      <c r="I1888" s="3"/>
      <c r="J1888" s="3"/>
    </row>
    <row r="1889" spans="4:10" s="22" customFormat="1" x14ac:dyDescent="0.35">
      <c r="D1889" s="3"/>
      <c r="E1889" s="3"/>
      <c r="F1889" s="3"/>
      <c r="G1889" s="3"/>
      <c r="H1889" s="3"/>
      <c r="I1889" s="3"/>
      <c r="J1889" s="3"/>
    </row>
    <row r="1890" spans="4:10" s="22" customFormat="1" x14ac:dyDescent="0.35">
      <c r="D1890" s="3"/>
      <c r="E1890" s="3"/>
      <c r="F1890" s="3"/>
      <c r="G1890" s="3"/>
      <c r="H1890" s="3"/>
      <c r="I1890" s="3"/>
      <c r="J1890" s="3"/>
    </row>
    <row r="1891" spans="4:10" s="22" customFormat="1" x14ac:dyDescent="0.35">
      <c r="D1891" s="3"/>
      <c r="E1891" s="3"/>
      <c r="F1891" s="3"/>
      <c r="G1891" s="3"/>
      <c r="H1891" s="3"/>
      <c r="I1891" s="3"/>
      <c r="J1891" s="3"/>
    </row>
    <row r="1892" spans="4:10" s="22" customFormat="1" x14ac:dyDescent="0.35">
      <c r="D1892" s="3"/>
      <c r="E1892" s="3"/>
      <c r="F1892" s="3"/>
      <c r="G1892" s="3"/>
      <c r="H1892" s="3"/>
      <c r="I1892" s="3"/>
      <c r="J1892" s="3"/>
    </row>
    <row r="1893" spans="4:10" s="22" customFormat="1" x14ac:dyDescent="0.35">
      <c r="D1893" s="3"/>
      <c r="E1893" s="3"/>
      <c r="F1893" s="3"/>
      <c r="G1893" s="3"/>
      <c r="H1893" s="3"/>
      <c r="I1893" s="3"/>
      <c r="J1893" s="3"/>
    </row>
    <row r="1894" spans="4:10" s="22" customFormat="1" x14ac:dyDescent="0.35">
      <c r="D1894" s="3"/>
      <c r="E1894" s="3"/>
      <c r="F1894" s="3"/>
      <c r="G1894" s="3"/>
      <c r="H1894" s="3"/>
      <c r="I1894" s="3"/>
      <c r="J1894" s="3"/>
    </row>
    <row r="1895" spans="4:10" s="22" customFormat="1" x14ac:dyDescent="0.35">
      <c r="D1895" s="3"/>
      <c r="E1895" s="3"/>
      <c r="F1895" s="3"/>
      <c r="G1895" s="3"/>
      <c r="H1895" s="3"/>
      <c r="I1895" s="3"/>
      <c r="J1895" s="3"/>
    </row>
    <row r="1896" spans="4:10" s="22" customFormat="1" x14ac:dyDescent="0.35">
      <c r="D1896" s="3"/>
      <c r="E1896" s="3"/>
      <c r="F1896" s="3"/>
      <c r="G1896" s="3"/>
      <c r="H1896" s="3"/>
      <c r="I1896" s="3"/>
      <c r="J1896" s="3"/>
    </row>
    <row r="1897" spans="4:10" s="22" customFormat="1" x14ac:dyDescent="0.35">
      <c r="D1897" s="3"/>
      <c r="E1897" s="3"/>
      <c r="F1897" s="3"/>
      <c r="G1897" s="3"/>
      <c r="H1897" s="3"/>
      <c r="I1897" s="3"/>
      <c r="J1897" s="3"/>
    </row>
    <row r="1898" spans="4:10" s="22" customFormat="1" x14ac:dyDescent="0.35">
      <c r="D1898" s="3"/>
      <c r="E1898" s="3"/>
      <c r="F1898" s="3"/>
      <c r="G1898" s="3"/>
      <c r="H1898" s="3"/>
      <c r="I1898" s="3"/>
      <c r="J1898" s="3"/>
    </row>
    <row r="1899" spans="4:10" s="22" customFormat="1" x14ac:dyDescent="0.35">
      <c r="D1899" s="3"/>
      <c r="E1899" s="3"/>
      <c r="F1899" s="3"/>
      <c r="G1899" s="3"/>
      <c r="H1899" s="3"/>
      <c r="I1899" s="3"/>
      <c r="J1899" s="3"/>
    </row>
    <row r="1900" spans="4:10" s="22" customFormat="1" x14ac:dyDescent="0.35">
      <c r="D1900" s="3"/>
      <c r="E1900" s="3"/>
      <c r="F1900" s="3"/>
      <c r="G1900" s="3"/>
      <c r="H1900" s="3"/>
      <c r="I1900" s="3"/>
      <c r="J1900" s="3"/>
    </row>
    <row r="1901" spans="4:10" s="22" customFormat="1" x14ac:dyDescent="0.35">
      <c r="D1901" s="3"/>
      <c r="E1901" s="3"/>
      <c r="F1901" s="3"/>
      <c r="G1901" s="3"/>
      <c r="H1901" s="3"/>
      <c r="I1901" s="3"/>
      <c r="J1901" s="3"/>
    </row>
    <row r="1902" spans="4:10" s="22" customFormat="1" x14ac:dyDescent="0.35">
      <c r="D1902" s="3"/>
      <c r="E1902" s="3"/>
      <c r="F1902" s="3"/>
      <c r="G1902" s="3"/>
      <c r="H1902" s="3"/>
      <c r="I1902" s="3"/>
      <c r="J1902" s="3"/>
    </row>
    <row r="1903" spans="4:10" s="22" customFormat="1" x14ac:dyDescent="0.35">
      <c r="D1903" s="3"/>
      <c r="E1903" s="3"/>
      <c r="F1903" s="3"/>
      <c r="G1903" s="3"/>
      <c r="H1903" s="3"/>
      <c r="I1903" s="3"/>
      <c r="J1903" s="3"/>
    </row>
    <row r="1904" spans="4:10" s="22" customFormat="1" x14ac:dyDescent="0.35">
      <c r="D1904" s="3"/>
      <c r="E1904" s="3"/>
      <c r="F1904" s="3"/>
      <c r="G1904" s="3"/>
      <c r="H1904" s="3"/>
      <c r="I1904" s="3"/>
      <c r="J1904" s="3"/>
    </row>
    <row r="1905" spans="4:10" s="22" customFormat="1" x14ac:dyDescent="0.35">
      <c r="D1905" s="3"/>
      <c r="E1905" s="3"/>
      <c r="F1905" s="3"/>
      <c r="G1905" s="3"/>
      <c r="H1905" s="3"/>
      <c r="I1905" s="3"/>
      <c r="J1905" s="3"/>
    </row>
    <row r="1906" spans="4:10" s="22" customFormat="1" x14ac:dyDescent="0.35">
      <c r="D1906" s="3"/>
      <c r="E1906" s="3"/>
      <c r="F1906" s="3"/>
      <c r="G1906" s="3"/>
      <c r="H1906" s="3"/>
      <c r="I1906" s="3"/>
      <c r="J1906" s="3"/>
    </row>
    <row r="1907" spans="4:10" s="22" customFormat="1" x14ac:dyDescent="0.35">
      <c r="D1907" s="3"/>
      <c r="E1907" s="3"/>
      <c r="F1907" s="3"/>
      <c r="G1907" s="3"/>
      <c r="H1907" s="3"/>
      <c r="I1907" s="3"/>
      <c r="J1907" s="3"/>
    </row>
    <row r="1908" spans="4:10" s="22" customFormat="1" x14ac:dyDescent="0.35">
      <c r="D1908" s="3"/>
      <c r="E1908" s="3"/>
      <c r="F1908" s="3"/>
      <c r="G1908" s="3"/>
      <c r="H1908" s="3"/>
      <c r="I1908" s="3"/>
      <c r="J1908" s="3"/>
    </row>
    <row r="1909" spans="4:10" s="22" customFormat="1" x14ac:dyDescent="0.35">
      <c r="D1909" s="3"/>
      <c r="E1909" s="3"/>
      <c r="F1909" s="3"/>
      <c r="G1909" s="3"/>
      <c r="H1909" s="3"/>
      <c r="I1909" s="3"/>
      <c r="J1909" s="3"/>
    </row>
    <row r="1910" spans="4:10" s="22" customFormat="1" x14ac:dyDescent="0.35">
      <c r="D1910" s="3"/>
      <c r="E1910" s="3"/>
      <c r="F1910" s="3"/>
      <c r="G1910" s="3"/>
      <c r="H1910" s="3"/>
      <c r="I1910" s="3"/>
      <c r="J1910" s="3"/>
    </row>
    <row r="1911" spans="4:10" s="22" customFormat="1" x14ac:dyDescent="0.35">
      <c r="D1911" s="3" t="s">
        <v>392</v>
      </c>
      <c r="E1911" s="3"/>
      <c r="F1911" s="3"/>
      <c r="G1911" s="3"/>
      <c r="H1911" s="3"/>
      <c r="I1911" s="3"/>
      <c r="J1911" s="3"/>
    </row>
    <row r="1912" spans="4:10" s="22" customFormat="1" x14ac:dyDescent="0.35">
      <c r="D1912" s="3"/>
      <c r="E1912" s="3"/>
      <c r="F1912" s="3"/>
      <c r="G1912" s="3"/>
      <c r="H1912" s="3"/>
      <c r="I1912" s="3"/>
      <c r="J1912" s="3"/>
    </row>
    <row r="1913" spans="4:10" s="22" customFormat="1" x14ac:dyDescent="0.35">
      <c r="D1913" s="3"/>
      <c r="E1913" s="3"/>
      <c r="F1913" s="3"/>
      <c r="G1913" s="3"/>
      <c r="H1913" s="3"/>
      <c r="I1913" s="3"/>
      <c r="J1913" s="3"/>
    </row>
    <row r="1914" spans="4:10" s="22" customFormat="1" x14ac:dyDescent="0.35">
      <c r="D1914" s="3"/>
      <c r="E1914" s="3"/>
      <c r="F1914" s="3"/>
      <c r="G1914" s="3"/>
      <c r="H1914" s="3"/>
      <c r="I1914" s="3"/>
      <c r="J1914" s="3"/>
    </row>
    <row r="1915" spans="4:10" s="22" customFormat="1" x14ac:dyDescent="0.35">
      <c r="D1915" s="3"/>
      <c r="E1915" s="3"/>
      <c r="F1915" s="3"/>
      <c r="G1915" s="3"/>
      <c r="H1915" s="3"/>
      <c r="I1915" s="3"/>
      <c r="J1915" s="3"/>
    </row>
    <row r="1916" spans="4:10" s="22" customFormat="1" x14ac:dyDescent="0.35">
      <c r="D1916" s="3"/>
      <c r="E1916" s="3"/>
      <c r="F1916" s="3"/>
      <c r="G1916" s="3"/>
      <c r="H1916" s="3"/>
      <c r="I1916" s="3"/>
      <c r="J1916" s="3"/>
    </row>
    <row r="1917" spans="4:10" s="22" customFormat="1" x14ac:dyDescent="0.35">
      <c r="D1917" s="3"/>
      <c r="E1917" s="3"/>
      <c r="F1917" s="3"/>
      <c r="G1917" s="3"/>
      <c r="H1917" s="3"/>
      <c r="I1917" s="3"/>
      <c r="J1917" s="3"/>
    </row>
    <row r="1918" spans="4:10" s="22" customFormat="1" x14ac:dyDescent="0.35">
      <c r="D1918" s="3"/>
      <c r="E1918" s="3"/>
      <c r="F1918" s="3"/>
      <c r="G1918" s="3"/>
      <c r="H1918" s="3"/>
      <c r="I1918" s="3"/>
      <c r="J1918" s="3"/>
    </row>
    <row r="1919" spans="4:10" s="22" customFormat="1" x14ac:dyDescent="0.35">
      <c r="D1919" s="3"/>
      <c r="E1919" s="3"/>
      <c r="F1919" s="3"/>
      <c r="G1919" s="3"/>
      <c r="H1919" s="3"/>
      <c r="I1919" s="3"/>
      <c r="J1919" s="3"/>
    </row>
    <row r="1920" spans="4:10" s="22" customFormat="1" x14ac:dyDescent="0.35">
      <c r="D1920" s="3"/>
      <c r="E1920" s="3"/>
      <c r="F1920" s="3"/>
      <c r="G1920" s="3"/>
      <c r="H1920" s="3"/>
      <c r="I1920" s="3"/>
      <c r="J1920" s="3"/>
    </row>
    <row r="1921" spans="4:10" s="22" customFormat="1" x14ac:dyDescent="0.35">
      <c r="D1921" s="3"/>
      <c r="E1921" s="3"/>
      <c r="F1921" s="3"/>
      <c r="G1921" s="3"/>
      <c r="H1921" s="3"/>
      <c r="I1921" s="3"/>
      <c r="J1921" s="3"/>
    </row>
    <row r="1922" spans="4:10" s="22" customFormat="1" x14ac:dyDescent="0.35">
      <c r="D1922" s="3"/>
      <c r="E1922" s="3"/>
      <c r="F1922" s="3"/>
      <c r="G1922" s="3"/>
      <c r="H1922" s="3"/>
      <c r="I1922" s="3"/>
      <c r="J1922" s="3"/>
    </row>
    <row r="1923" spans="4:10" s="22" customFormat="1" x14ac:dyDescent="0.35">
      <c r="D1923" s="3"/>
      <c r="E1923" s="3"/>
      <c r="F1923" s="3"/>
      <c r="G1923" s="3"/>
      <c r="H1923" s="3"/>
      <c r="I1923" s="3"/>
      <c r="J1923" s="3"/>
    </row>
    <row r="1924" spans="4:10" s="22" customFormat="1" x14ac:dyDescent="0.35">
      <c r="D1924" s="3"/>
      <c r="E1924" s="3"/>
      <c r="F1924" s="3"/>
      <c r="G1924" s="3"/>
      <c r="H1924" s="3"/>
      <c r="I1924" s="3"/>
      <c r="J1924" s="3"/>
    </row>
    <row r="1925" spans="4:10" s="22" customFormat="1" x14ac:dyDescent="0.35">
      <c r="D1925" s="3"/>
      <c r="E1925" s="3"/>
      <c r="F1925" s="3"/>
      <c r="G1925" s="3"/>
      <c r="H1925" s="3"/>
      <c r="I1925" s="3"/>
      <c r="J1925" s="3"/>
    </row>
    <row r="1926" spans="4:10" s="22" customFormat="1" x14ac:dyDescent="0.35">
      <c r="D1926" s="3"/>
      <c r="E1926" s="3"/>
      <c r="F1926" s="3"/>
      <c r="G1926" s="3"/>
      <c r="H1926" s="3"/>
      <c r="I1926" s="3"/>
      <c r="J1926" s="3"/>
    </row>
    <row r="1927" spans="4:10" s="22" customFormat="1" x14ac:dyDescent="0.35">
      <c r="D1927" s="3"/>
      <c r="E1927" s="3"/>
      <c r="F1927" s="3"/>
      <c r="G1927" s="3"/>
      <c r="H1927" s="3"/>
      <c r="I1927" s="3"/>
      <c r="J1927" s="3"/>
    </row>
    <row r="1928" spans="4:10" s="22" customFormat="1" x14ac:dyDescent="0.35">
      <c r="D1928" s="3"/>
      <c r="E1928" s="3"/>
      <c r="F1928" s="3"/>
      <c r="G1928" s="3"/>
      <c r="H1928" s="3"/>
      <c r="I1928" s="3"/>
      <c r="J1928" s="3"/>
    </row>
    <row r="1929" spans="4:10" s="22" customFormat="1" x14ac:dyDescent="0.35">
      <c r="D1929" s="3"/>
      <c r="E1929" s="3"/>
      <c r="F1929" s="3"/>
      <c r="G1929" s="3"/>
      <c r="H1929" s="3"/>
      <c r="I1929" s="3"/>
      <c r="J1929" s="3"/>
    </row>
    <row r="1930" spans="4:10" s="22" customFormat="1" x14ac:dyDescent="0.35">
      <c r="D1930" s="3"/>
      <c r="E1930" s="3"/>
      <c r="F1930" s="3"/>
      <c r="G1930" s="3"/>
      <c r="H1930" s="3"/>
      <c r="I1930" s="3"/>
      <c r="J1930" s="3"/>
    </row>
    <row r="1931" spans="4:10" s="22" customFormat="1" x14ac:dyDescent="0.35">
      <c r="D1931" s="3"/>
      <c r="E1931" s="3"/>
      <c r="F1931" s="3"/>
      <c r="G1931" s="3"/>
      <c r="H1931" s="3"/>
      <c r="I1931" s="3"/>
      <c r="J1931" s="3"/>
    </row>
    <row r="1932" spans="4:10" s="22" customFormat="1" x14ac:dyDescent="0.35">
      <c r="D1932" s="3"/>
      <c r="E1932" s="3"/>
      <c r="F1932" s="3"/>
      <c r="G1932" s="3"/>
      <c r="H1932" s="3"/>
      <c r="I1932" s="3"/>
      <c r="J1932" s="3"/>
    </row>
    <row r="1933" spans="4:10" s="22" customFormat="1" x14ac:dyDescent="0.35">
      <c r="D1933" s="3"/>
      <c r="E1933" s="3"/>
      <c r="F1933" s="3"/>
      <c r="G1933" s="3"/>
      <c r="H1933" s="3"/>
      <c r="I1933" s="3"/>
      <c r="J1933" s="3"/>
    </row>
    <row r="1934" spans="4:10" s="22" customFormat="1" x14ac:dyDescent="0.35">
      <c r="D1934" s="3"/>
      <c r="E1934" s="3"/>
      <c r="F1934" s="3"/>
      <c r="G1934" s="3"/>
      <c r="H1934" s="3"/>
      <c r="I1934" s="3"/>
      <c r="J1934" s="3"/>
    </row>
    <row r="1935" spans="4:10" s="22" customFormat="1" x14ac:dyDescent="0.35">
      <c r="D1935" s="3"/>
      <c r="E1935" s="3"/>
      <c r="F1935" s="3"/>
      <c r="G1935" s="3"/>
      <c r="H1935" s="3"/>
      <c r="I1935" s="3"/>
      <c r="J1935" s="3"/>
    </row>
    <row r="1936" spans="4:10" s="22" customFormat="1" x14ac:dyDescent="0.35">
      <c r="D1936" s="3"/>
      <c r="E1936" s="3"/>
      <c r="F1936" s="3"/>
      <c r="G1936" s="3"/>
      <c r="H1936" s="3"/>
      <c r="I1936" s="3"/>
      <c r="J1936" s="3"/>
    </row>
    <row r="1937" spans="4:10" s="22" customFormat="1" x14ac:dyDescent="0.35">
      <c r="D1937" s="3"/>
      <c r="E1937" s="3"/>
      <c r="F1937" s="3"/>
      <c r="G1937" s="3"/>
      <c r="H1937" s="3"/>
      <c r="I1937" s="3"/>
      <c r="J1937" s="3"/>
    </row>
    <row r="1938" spans="4:10" s="22" customFormat="1" x14ac:dyDescent="0.35">
      <c r="D1938" s="3"/>
      <c r="E1938" s="3"/>
      <c r="F1938" s="3"/>
      <c r="G1938" s="3"/>
      <c r="H1938" s="3"/>
      <c r="I1938" s="3"/>
      <c r="J1938" s="3"/>
    </row>
    <row r="1939" spans="4:10" s="22" customFormat="1" x14ac:dyDescent="0.35">
      <c r="D1939" s="3"/>
      <c r="E1939" s="3"/>
      <c r="F1939" s="3"/>
      <c r="G1939" s="3"/>
      <c r="H1939" s="3"/>
      <c r="I1939" s="3"/>
      <c r="J1939" s="3"/>
    </row>
    <row r="1940" spans="4:10" s="22" customFormat="1" x14ac:dyDescent="0.35">
      <c r="D1940" s="3"/>
      <c r="E1940" s="3"/>
      <c r="F1940" s="3"/>
      <c r="G1940" s="3"/>
      <c r="H1940" s="3"/>
      <c r="I1940" s="3"/>
      <c r="J1940" s="3"/>
    </row>
    <row r="1941" spans="4:10" s="22" customFormat="1" x14ac:dyDescent="0.35">
      <c r="D1941" s="3"/>
      <c r="E1941" s="3"/>
      <c r="F1941" s="3"/>
      <c r="G1941" s="3"/>
      <c r="H1941" s="3"/>
      <c r="I1941" s="3"/>
      <c r="J1941" s="3"/>
    </row>
    <row r="1942" spans="4:10" s="22" customFormat="1" x14ac:dyDescent="0.35">
      <c r="D1942" s="3"/>
      <c r="E1942" s="3"/>
      <c r="F1942" s="3"/>
      <c r="G1942" s="3"/>
      <c r="H1942" s="3"/>
      <c r="I1942" s="3"/>
      <c r="J1942" s="3"/>
    </row>
    <row r="1943" spans="4:10" s="22" customFormat="1" x14ac:dyDescent="0.35">
      <c r="D1943" s="3"/>
      <c r="E1943" s="3"/>
      <c r="F1943" s="3"/>
      <c r="G1943" s="3"/>
      <c r="H1943" s="3"/>
      <c r="I1943" s="3"/>
      <c r="J1943" s="3"/>
    </row>
    <row r="1944" spans="4:10" s="22" customFormat="1" x14ac:dyDescent="0.35">
      <c r="D1944" s="3"/>
      <c r="E1944" s="3"/>
      <c r="F1944" s="3"/>
      <c r="G1944" s="3"/>
      <c r="H1944" s="3"/>
      <c r="I1944" s="3"/>
      <c r="J1944" s="3"/>
    </row>
    <row r="1945" spans="4:10" s="22" customFormat="1" x14ac:dyDescent="0.35">
      <c r="D1945" s="3"/>
      <c r="E1945" s="3"/>
      <c r="F1945" s="3"/>
      <c r="G1945" s="3"/>
      <c r="H1945" s="3"/>
      <c r="I1945" s="3"/>
      <c r="J1945" s="3"/>
    </row>
    <row r="1946" spans="4:10" s="22" customFormat="1" x14ac:dyDescent="0.35">
      <c r="D1946" s="3"/>
      <c r="E1946" s="3"/>
      <c r="F1946" s="3"/>
      <c r="G1946" s="3"/>
      <c r="H1946" s="3"/>
      <c r="I1946" s="3"/>
      <c r="J1946" s="3"/>
    </row>
    <row r="1947" spans="4:10" s="22" customFormat="1" x14ac:dyDescent="0.35">
      <c r="D1947" s="3"/>
      <c r="E1947" s="3"/>
      <c r="F1947" s="3"/>
      <c r="G1947" s="3"/>
      <c r="H1947" s="3"/>
      <c r="I1947" s="3"/>
      <c r="J1947" s="3"/>
    </row>
    <row r="1948" spans="4:10" s="22" customFormat="1" x14ac:dyDescent="0.35">
      <c r="D1948" s="3"/>
      <c r="E1948" s="3"/>
      <c r="F1948" s="3"/>
      <c r="G1948" s="3"/>
      <c r="H1948" s="3"/>
      <c r="I1948" s="3"/>
      <c r="J1948" s="3"/>
    </row>
    <row r="1949" spans="4:10" s="22" customFormat="1" x14ac:dyDescent="0.35">
      <c r="D1949" s="3"/>
      <c r="E1949" s="3"/>
      <c r="F1949" s="3"/>
      <c r="G1949" s="3"/>
      <c r="H1949" s="3"/>
      <c r="I1949" s="3"/>
      <c r="J1949" s="3"/>
    </row>
    <row r="1950" spans="4:10" s="22" customFormat="1" x14ac:dyDescent="0.35">
      <c r="D1950" s="3"/>
      <c r="E1950" s="3"/>
      <c r="F1950" s="3"/>
      <c r="G1950" s="3"/>
      <c r="H1950" s="3"/>
      <c r="I1950" s="3"/>
      <c r="J1950" s="3"/>
    </row>
    <row r="1951" spans="4:10" s="22" customFormat="1" x14ac:dyDescent="0.35">
      <c r="D1951" s="3"/>
      <c r="E1951" s="3"/>
      <c r="F1951" s="3"/>
      <c r="G1951" s="3"/>
      <c r="H1951" s="3"/>
      <c r="I1951" s="3"/>
      <c r="J1951" s="3"/>
    </row>
    <row r="1952" spans="4:10" s="22" customFormat="1" x14ac:dyDescent="0.35">
      <c r="D1952" s="3"/>
      <c r="E1952" s="3"/>
      <c r="F1952" s="3"/>
      <c r="G1952" s="3"/>
      <c r="H1952" s="3"/>
      <c r="I1952" s="3"/>
      <c r="J1952" s="3"/>
    </row>
    <row r="1953" spans="4:10" s="22" customFormat="1" x14ac:dyDescent="0.35">
      <c r="D1953" s="3"/>
      <c r="E1953" s="3"/>
      <c r="F1953" s="3"/>
      <c r="G1953" s="3"/>
      <c r="H1953" s="3"/>
      <c r="I1953" s="3"/>
      <c r="J1953" s="3"/>
    </row>
    <row r="1954" spans="4:10" s="22" customFormat="1" x14ac:dyDescent="0.35">
      <c r="D1954" s="3"/>
      <c r="E1954" s="3"/>
      <c r="F1954" s="3"/>
      <c r="G1954" s="3"/>
      <c r="H1954" s="3"/>
      <c r="I1954" s="3"/>
      <c r="J1954" s="3"/>
    </row>
    <row r="1955" spans="4:10" s="22" customFormat="1" x14ac:dyDescent="0.35">
      <c r="D1955" s="3"/>
      <c r="E1955" s="3"/>
      <c r="F1955" s="3"/>
      <c r="G1955" s="3"/>
      <c r="H1955" s="3"/>
      <c r="I1955" s="3"/>
      <c r="J1955" s="3"/>
    </row>
    <row r="1956" spans="4:10" s="22" customFormat="1" x14ac:dyDescent="0.35">
      <c r="D1956" s="3"/>
      <c r="E1956" s="3"/>
      <c r="F1956" s="3"/>
      <c r="G1956" s="3"/>
      <c r="H1956" s="3"/>
      <c r="I1956" s="3"/>
      <c r="J1956" s="3"/>
    </row>
    <row r="1957" spans="4:10" s="22" customFormat="1" x14ac:dyDescent="0.35">
      <c r="D1957" s="3"/>
      <c r="E1957" s="3"/>
      <c r="F1957" s="3"/>
      <c r="G1957" s="3"/>
      <c r="H1957" s="3"/>
      <c r="I1957" s="3"/>
      <c r="J1957" s="3"/>
    </row>
    <row r="1958" spans="4:10" s="22" customFormat="1" x14ac:dyDescent="0.35">
      <c r="D1958" s="3"/>
      <c r="E1958" s="3"/>
      <c r="F1958" s="3"/>
      <c r="G1958" s="3"/>
      <c r="H1958" s="3"/>
      <c r="I1958" s="3"/>
      <c r="J1958" s="3"/>
    </row>
    <row r="1959" spans="4:10" s="22" customFormat="1" x14ac:dyDescent="0.35">
      <c r="D1959" s="3"/>
      <c r="E1959" s="3"/>
      <c r="F1959" s="3"/>
      <c r="G1959" s="3"/>
      <c r="H1959" s="3"/>
      <c r="I1959" s="3"/>
      <c r="J1959" s="3"/>
    </row>
    <row r="1960" spans="4:10" s="22" customFormat="1" x14ac:dyDescent="0.35">
      <c r="D1960" s="3"/>
      <c r="E1960" s="3"/>
      <c r="F1960" s="3"/>
      <c r="G1960" s="3"/>
      <c r="H1960" s="3"/>
      <c r="I1960" s="3"/>
      <c r="J1960" s="3"/>
    </row>
    <row r="1961" spans="4:10" s="22" customFormat="1" x14ac:dyDescent="0.35">
      <c r="D1961" s="3"/>
      <c r="E1961" s="3"/>
      <c r="F1961" s="3"/>
      <c r="G1961" s="3"/>
      <c r="H1961" s="3"/>
      <c r="I1961" s="3"/>
      <c r="J1961" s="3"/>
    </row>
    <row r="1962" spans="4:10" s="22" customFormat="1" x14ac:dyDescent="0.35">
      <c r="D1962" s="3"/>
      <c r="E1962" s="3"/>
      <c r="F1962" s="3"/>
      <c r="G1962" s="3"/>
      <c r="H1962" s="3"/>
      <c r="I1962" s="3"/>
      <c r="J1962" s="3"/>
    </row>
    <row r="1963" spans="4:10" s="22" customFormat="1" x14ac:dyDescent="0.35">
      <c r="D1963" s="3"/>
      <c r="E1963" s="3"/>
      <c r="F1963" s="3"/>
      <c r="G1963" s="3"/>
      <c r="H1963" s="3"/>
      <c r="I1963" s="3"/>
      <c r="J1963" s="3"/>
    </row>
    <row r="1964" spans="4:10" s="22" customFormat="1" x14ac:dyDescent="0.35">
      <c r="D1964" s="3"/>
      <c r="E1964" s="3"/>
      <c r="F1964" s="3"/>
      <c r="G1964" s="3"/>
      <c r="H1964" s="3"/>
      <c r="I1964" s="3"/>
      <c r="J1964" s="3"/>
    </row>
    <row r="1965" spans="4:10" s="22" customFormat="1" x14ac:dyDescent="0.35">
      <c r="D1965" s="3"/>
      <c r="E1965" s="3"/>
      <c r="F1965" s="3"/>
      <c r="G1965" s="3"/>
      <c r="H1965" s="3"/>
      <c r="I1965" s="3"/>
      <c r="J1965" s="3"/>
    </row>
    <row r="1966" spans="4:10" s="22" customFormat="1" x14ac:dyDescent="0.35">
      <c r="D1966" s="3"/>
      <c r="E1966" s="3"/>
      <c r="F1966" s="3"/>
      <c r="G1966" s="3"/>
      <c r="H1966" s="3"/>
      <c r="I1966" s="3"/>
      <c r="J1966" s="3"/>
    </row>
    <row r="1967" spans="4:10" s="22" customFormat="1" x14ac:dyDescent="0.35">
      <c r="D1967" s="3"/>
      <c r="E1967" s="3"/>
      <c r="F1967" s="3"/>
      <c r="G1967" s="3"/>
      <c r="H1967" s="3"/>
      <c r="I1967" s="3"/>
      <c r="J1967" s="3"/>
    </row>
    <row r="1968" spans="4:10" s="22" customFormat="1" x14ac:dyDescent="0.35">
      <c r="D1968" s="3"/>
      <c r="E1968" s="3"/>
      <c r="F1968" s="3"/>
      <c r="G1968" s="3"/>
      <c r="H1968" s="3"/>
      <c r="I1968" s="3"/>
      <c r="J1968" s="3"/>
    </row>
    <row r="1969" spans="4:10" s="22" customFormat="1" x14ac:dyDescent="0.35">
      <c r="D1969" s="3" t="s">
        <v>393</v>
      </c>
      <c r="E1969" s="3"/>
      <c r="F1969" s="3"/>
      <c r="G1969" s="3"/>
      <c r="H1969" s="3"/>
      <c r="I1969" s="3"/>
      <c r="J1969" s="3"/>
    </row>
    <row r="1970" spans="4:10" s="22" customFormat="1" x14ac:dyDescent="0.35">
      <c r="D1970" s="3"/>
      <c r="E1970" s="3"/>
      <c r="F1970" s="3"/>
      <c r="G1970" s="3"/>
      <c r="H1970" s="3"/>
      <c r="I1970" s="3"/>
      <c r="J1970" s="3"/>
    </row>
    <row r="1971" spans="4:10" s="22" customFormat="1" x14ac:dyDescent="0.35">
      <c r="D1971" s="3"/>
      <c r="E1971" s="3"/>
      <c r="F1971" s="3"/>
      <c r="G1971" s="3"/>
      <c r="H1971" s="3"/>
      <c r="I1971" s="3"/>
      <c r="J1971" s="3"/>
    </row>
    <row r="1972" spans="4:10" s="22" customFormat="1" x14ac:dyDescent="0.35">
      <c r="D1972" s="3"/>
      <c r="E1972" s="3"/>
      <c r="F1972" s="3"/>
      <c r="G1972" s="3"/>
      <c r="H1972" s="3"/>
      <c r="I1972" s="3"/>
      <c r="J1972" s="3"/>
    </row>
    <row r="1973" spans="4:10" s="22" customFormat="1" x14ac:dyDescent="0.35">
      <c r="D1973" s="3"/>
      <c r="E1973" s="3"/>
      <c r="F1973" s="3"/>
      <c r="G1973" s="3"/>
      <c r="H1973" s="3"/>
      <c r="I1973" s="3"/>
      <c r="J1973" s="3"/>
    </row>
    <row r="1974" spans="4:10" s="22" customFormat="1" x14ac:dyDescent="0.35">
      <c r="D1974" s="3"/>
      <c r="E1974" s="3"/>
      <c r="F1974" s="3"/>
      <c r="G1974" s="3"/>
      <c r="H1974" s="3"/>
      <c r="I1974" s="3"/>
      <c r="J1974" s="3"/>
    </row>
    <row r="1975" spans="4:10" s="22" customFormat="1" x14ac:dyDescent="0.35">
      <c r="D1975" s="3"/>
      <c r="E1975" s="3"/>
      <c r="F1975" s="3"/>
      <c r="G1975" s="3"/>
      <c r="H1975" s="3"/>
      <c r="I1975" s="3"/>
      <c r="J1975" s="3"/>
    </row>
    <row r="1976" spans="4:10" s="22" customFormat="1" x14ac:dyDescent="0.35">
      <c r="D1976" s="3"/>
      <c r="E1976" s="3"/>
      <c r="F1976" s="3"/>
      <c r="G1976" s="3"/>
      <c r="H1976" s="3"/>
      <c r="I1976" s="3"/>
      <c r="J1976" s="3"/>
    </row>
    <row r="1977" spans="4:10" s="22" customFormat="1" x14ac:dyDescent="0.35">
      <c r="D1977" s="3"/>
      <c r="E1977" s="3"/>
      <c r="F1977" s="3"/>
      <c r="G1977" s="3"/>
      <c r="H1977" s="3"/>
      <c r="I1977" s="3"/>
      <c r="J1977" s="3"/>
    </row>
    <row r="1978" spans="4:10" s="22" customFormat="1" x14ac:dyDescent="0.35">
      <c r="D1978" s="3"/>
      <c r="E1978" s="3"/>
      <c r="F1978" s="3"/>
      <c r="G1978" s="3"/>
      <c r="H1978" s="3"/>
      <c r="I1978" s="3"/>
      <c r="J1978" s="3"/>
    </row>
    <row r="1979" spans="4:10" s="22" customFormat="1" x14ac:dyDescent="0.35">
      <c r="D1979" s="3"/>
      <c r="E1979" s="3"/>
      <c r="F1979" s="3"/>
      <c r="G1979" s="3"/>
      <c r="H1979" s="3"/>
      <c r="I1979" s="3"/>
      <c r="J1979" s="3"/>
    </row>
    <row r="1980" spans="4:10" s="22" customFormat="1" x14ac:dyDescent="0.35">
      <c r="D1980" s="3"/>
      <c r="E1980" s="3"/>
      <c r="F1980" s="3"/>
      <c r="G1980" s="3"/>
      <c r="H1980" s="3"/>
      <c r="I1980" s="3"/>
      <c r="J1980" s="3"/>
    </row>
    <row r="1981" spans="4:10" s="22" customFormat="1" x14ac:dyDescent="0.35">
      <c r="D1981" s="3"/>
      <c r="E1981" s="3"/>
      <c r="F1981" s="3"/>
      <c r="G1981" s="3"/>
      <c r="H1981" s="3"/>
      <c r="I1981" s="3"/>
      <c r="J1981" s="3"/>
    </row>
    <row r="1982" spans="4:10" s="22" customFormat="1" x14ac:dyDescent="0.35">
      <c r="D1982" s="3"/>
      <c r="E1982" s="3"/>
      <c r="F1982" s="3"/>
      <c r="G1982" s="3"/>
      <c r="H1982" s="3"/>
      <c r="I1982" s="3"/>
      <c r="J1982" s="3"/>
    </row>
    <row r="1983" spans="4:10" s="22" customFormat="1" x14ac:dyDescent="0.35">
      <c r="D1983" s="3"/>
      <c r="E1983" s="3"/>
      <c r="F1983" s="3"/>
      <c r="G1983" s="3"/>
      <c r="H1983" s="3"/>
      <c r="I1983" s="3"/>
      <c r="J1983" s="3"/>
    </row>
    <row r="1984" spans="4:10" s="22" customFormat="1" x14ac:dyDescent="0.35">
      <c r="D1984" s="3"/>
      <c r="E1984" s="3"/>
      <c r="F1984" s="3"/>
      <c r="G1984" s="3"/>
      <c r="H1984" s="3"/>
      <c r="I1984" s="3"/>
      <c r="J1984" s="3"/>
    </row>
    <row r="1985" spans="4:10" s="22" customFormat="1" x14ac:dyDescent="0.35">
      <c r="D1985" s="3"/>
      <c r="E1985" s="3"/>
      <c r="F1985" s="3"/>
      <c r="G1985" s="3"/>
      <c r="H1985" s="3"/>
      <c r="I1985" s="3"/>
      <c r="J1985" s="3"/>
    </row>
    <row r="1986" spans="4:10" s="22" customFormat="1" x14ac:dyDescent="0.35">
      <c r="D1986" s="3"/>
      <c r="E1986" s="3"/>
      <c r="F1986" s="3"/>
      <c r="G1986" s="3"/>
      <c r="H1986" s="3"/>
      <c r="I1986" s="3"/>
      <c r="J1986" s="3"/>
    </row>
    <row r="1987" spans="4:10" s="22" customFormat="1" x14ac:dyDescent="0.35">
      <c r="D1987" s="3"/>
      <c r="E1987" s="3"/>
      <c r="F1987" s="3"/>
      <c r="G1987" s="3"/>
      <c r="H1987" s="3"/>
      <c r="I1987" s="3"/>
      <c r="J1987" s="3"/>
    </row>
    <row r="1988" spans="4:10" s="22" customFormat="1" x14ac:dyDescent="0.35">
      <c r="D1988" s="3"/>
      <c r="E1988" s="3"/>
      <c r="F1988" s="3"/>
      <c r="G1988" s="3"/>
      <c r="H1988" s="3"/>
      <c r="I1988" s="3"/>
      <c r="J1988" s="3"/>
    </row>
    <row r="1989" spans="4:10" s="22" customFormat="1" x14ac:dyDescent="0.35">
      <c r="D1989" s="3"/>
      <c r="E1989" s="3"/>
      <c r="F1989" s="3"/>
      <c r="G1989" s="3"/>
      <c r="H1989" s="3"/>
      <c r="I1989" s="3"/>
      <c r="J1989" s="3"/>
    </row>
    <row r="1990" spans="4:10" s="22" customFormat="1" x14ac:dyDescent="0.35">
      <c r="D1990" s="3"/>
      <c r="E1990" s="3"/>
      <c r="F1990" s="3"/>
      <c r="G1990" s="3"/>
      <c r="H1990" s="3"/>
      <c r="I1990" s="3"/>
      <c r="J1990" s="3"/>
    </row>
    <row r="1991" spans="4:10" s="22" customFormat="1" x14ac:dyDescent="0.35">
      <c r="D1991" s="3"/>
      <c r="E1991" s="3"/>
      <c r="F1991" s="3"/>
      <c r="G1991" s="3"/>
      <c r="H1991" s="3"/>
      <c r="I1991" s="3"/>
      <c r="J1991" s="3"/>
    </row>
    <row r="1992" spans="4:10" s="22" customFormat="1" x14ac:dyDescent="0.35">
      <c r="D1992" s="3"/>
      <c r="E1992" s="3"/>
      <c r="F1992" s="3"/>
      <c r="G1992" s="3"/>
      <c r="H1992" s="3"/>
      <c r="I1992" s="3"/>
      <c r="J1992" s="3"/>
    </row>
    <row r="1993" spans="4:10" s="22" customFormat="1" x14ac:dyDescent="0.35">
      <c r="D1993" s="3"/>
      <c r="E1993" s="3"/>
      <c r="F1993" s="3"/>
      <c r="G1993" s="3"/>
      <c r="H1993" s="3"/>
      <c r="I1993" s="3"/>
      <c r="J1993" s="3"/>
    </row>
    <row r="1994" spans="4:10" s="22" customFormat="1" x14ac:dyDescent="0.35">
      <c r="D1994" s="3"/>
      <c r="E1994" s="3"/>
      <c r="F1994" s="3"/>
      <c r="G1994" s="3"/>
      <c r="H1994" s="3"/>
      <c r="I1994" s="3"/>
      <c r="J1994" s="3"/>
    </row>
    <row r="1995" spans="4:10" s="22" customFormat="1" x14ac:dyDescent="0.35">
      <c r="D1995" s="3"/>
      <c r="E1995" s="3"/>
      <c r="F1995" s="3"/>
      <c r="G1995" s="3"/>
      <c r="H1995" s="3"/>
      <c r="I1995" s="3"/>
      <c r="J1995" s="3"/>
    </row>
    <row r="1996" spans="4:10" s="22" customFormat="1" x14ac:dyDescent="0.35">
      <c r="D1996" s="3"/>
      <c r="E1996" s="3"/>
      <c r="F1996" s="3"/>
      <c r="G1996" s="3"/>
      <c r="H1996" s="3"/>
      <c r="I1996" s="3"/>
      <c r="J1996" s="3"/>
    </row>
    <row r="1997" spans="4:10" s="22" customFormat="1" x14ac:dyDescent="0.35">
      <c r="D1997" s="3"/>
      <c r="E1997" s="3"/>
      <c r="F1997" s="3"/>
      <c r="G1997" s="3"/>
      <c r="H1997" s="3"/>
      <c r="I1997" s="3"/>
      <c r="J1997" s="3"/>
    </row>
    <row r="1998" spans="4:10" s="22" customFormat="1" x14ac:dyDescent="0.35">
      <c r="D1998" s="3"/>
      <c r="E1998" s="3"/>
      <c r="F1998" s="3"/>
      <c r="G1998" s="3"/>
      <c r="H1998" s="3"/>
      <c r="I1998" s="3"/>
      <c r="J1998" s="3"/>
    </row>
    <row r="1999" spans="4:10" s="22" customFormat="1" x14ac:dyDescent="0.35">
      <c r="D1999" s="3"/>
      <c r="E1999" s="3"/>
      <c r="F1999" s="3"/>
      <c r="G1999" s="3"/>
      <c r="H1999" s="3"/>
      <c r="I1999" s="3"/>
      <c r="J1999" s="3"/>
    </row>
    <row r="2000" spans="4:10" s="22" customFormat="1" x14ac:dyDescent="0.35">
      <c r="D2000" s="3"/>
      <c r="E2000" s="3"/>
      <c r="F2000" s="3"/>
      <c r="G2000" s="3"/>
      <c r="H2000" s="3"/>
      <c r="I2000" s="3"/>
      <c r="J2000" s="3"/>
    </row>
    <row r="2001" spans="4:10" s="22" customFormat="1" x14ac:dyDescent="0.35">
      <c r="D2001" s="3"/>
      <c r="E2001" s="3"/>
      <c r="F2001" s="3"/>
      <c r="G2001" s="3"/>
      <c r="H2001" s="3"/>
      <c r="I2001" s="3"/>
      <c r="J2001" s="3"/>
    </row>
    <row r="2002" spans="4:10" s="22" customFormat="1" x14ac:dyDescent="0.35">
      <c r="D2002" s="3"/>
      <c r="E2002" s="3"/>
      <c r="F2002" s="3"/>
      <c r="G2002" s="3"/>
      <c r="H2002" s="3"/>
      <c r="I2002" s="3"/>
      <c r="J2002" s="3"/>
    </row>
    <row r="2003" spans="4:10" s="22" customFormat="1" x14ac:dyDescent="0.35">
      <c r="D2003" s="3"/>
      <c r="E2003" s="3"/>
      <c r="F2003" s="3"/>
      <c r="G2003" s="3"/>
      <c r="H2003" s="3"/>
      <c r="I2003" s="3"/>
      <c r="J2003" s="3"/>
    </row>
    <row r="2004" spans="4:10" s="22" customFormat="1" x14ac:dyDescent="0.35">
      <c r="D2004" s="3"/>
      <c r="E2004" s="3"/>
      <c r="F2004" s="3"/>
      <c r="G2004" s="3"/>
      <c r="H2004" s="3"/>
      <c r="I2004" s="3"/>
      <c r="J2004" s="3"/>
    </row>
    <row r="2005" spans="4:10" s="22" customFormat="1" x14ac:dyDescent="0.35">
      <c r="D2005" s="3"/>
      <c r="E2005" s="3"/>
      <c r="F2005" s="3"/>
      <c r="G2005" s="3"/>
      <c r="H2005" s="3"/>
      <c r="I2005" s="3"/>
      <c r="J2005" s="3"/>
    </row>
    <row r="2006" spans="4:10" s="22" customFormat="1" x14ac:dyDescent="0.35">
      <c r="D2006" s="3"/>
      <c r="E2006" s="3"/>
      <c r="F2006" s="3"/>
      <c r="G2006" s="3"/>
      <c r="H2006" s="3"/>
      <c r="I2006" s="3"/>
      <c r="J2006" s="3"/>
    </row>
    <row r="2007" spans="4:10" s="22" customFormat="1" x14ac:dyDescent="0.35">
      <c r="D2007" s="3"/>
      <c r="E2007" s="3"/>
      <c r="F2007" s="3"/>
      <c r="G2007" s="3"/>
      <c r="H2007" s="3"/>
      <c r="I2007" s="3"/>
      <c r="J2007" s="3"/>
    </row>
    <row r="2008" spans="4:10" s="22" customFormat="1" x14ac:dyDescent="0.35">
      <c r="D2008" s="3"/>
      <c r="E2008" s="3"/>
      <c r="F2008" s="3"/>
      <c r="G2008" s="3"/>
      <c r="H2008" s="3"/>
      <c r="I2008" s="3"/>
      <c r="J2008" s="3"/>
    </row>
    <row r="2009" spans="4:10" s="22" customFormat="1" x14ac:dyDescent="0.35">
      <c r="D2009" s="3"/>
      <c r="E2009" s="3"/>
      <c r="F2009" s="3"/>
      <c r="G2009" s="3"/>
      <c r="H2009" s="3"/>
      <c r="I2009" s="3"/>
      <c r="J2009" s="3"/>
    </row>
    <row r="2010" spans="4:10" s="22" customFormat="1" x14ac:dyDescent="0.35">
      <c r="D2010" s="3"/>
      <c r="E2010" s="3"/>
      <c r="F2010" s="3"/>
      <c r="G2010" s="3"/>
      <c r="H2010" s="3"/>
      <c r="I2010" s="3"/>
      <c r="J2010" s="3"/>
    </row>
    <row r="2011" spans="4:10" s="22" customFormat="1" x14ac:dyDescent="0.35">
      <c r="D2011" s="3"/>
      <c r="E2011" s="3"/>
      <c r="F2011" s="3"/>
      <c r="G2011" s="3"/>
      <c r="H2011" s="3"/>
      <c r="I2011" s="3"/>
      <c r="J2011" s="3"/>
    </row>
    <row r="2012" spans="4:10" s="22" customFormat="1" x14ac:dyDescent="0.35">
      <c r="D2012" s="3"/>
      <c r="E2012" s="3"/>
      <c r="F2012" s="3"/>
      <c r="G2012" s="3"/>
      <c r="H2012" s="3"/>
      <c r="I2012" s="3"/>
      <c r="J2012" s="3"/>
    </row>
    <row r="2013" spans="4:10" s="22" customFormat="1" x14ac:dyDescent="0.35">
      <c r="D2013" s="3"/>
      <c r="E2013" s="3"/>
      <c r="F2013" s="3"/>
      <c r="G2013" s="3"/>
      <c r="H2013" s="3"/>
      <c r="I2013" s="3"/>
      <c r="J2013" s="3"/>
    </row>
    <row r="2014" spans="4:10" s="22" customFormat="1" x14ac:dyDescent="0.35">
      <c r="D2014" s="3"/>
      <c r="E2014" s="3"/>
      <c r="F2014" s="3"/>
      <c r="G2014" s="3"/>
      <c r="H2014" s="3"/>
      <c r="I2014" s="3"/>
      <c r="J2014" s="3"/>
    </row>
    <row r="2015" spans="4:10" s="22" customFormat="1" x14ac:dyDescent="0.35">
      <c r="D2015" s="3"/>
      <c r="E2015" s="3"/>
      <c r="F2015" s="3"/>
      <c r="G2015" s="3"/>
      <c r="H2015" s="3"/>
      <c r="I2015" s="3"/>
      <c r="J2015" s="3"/>
    </row>
    <row r="2016" spans="4:10" s="22" customFormat="1" x14ac:dyDescent="0.35">
      <c r="D2016" s="3"/>
      <c r="E2016" s="3"/>
      <c r="F2016" s="3"/>
      <c r="G2016" s="3"/>
      <c r="H2016" s="3"/>
      <c r="I2016" s="3"/>
      <c r="J2016" s="3"/>
    </row>
    <row r="2017" spans="4:10" s="22" customFormat="1" x14ac:dyDescent="0.35">
      <c r="D2017" s="3"/>
      <c r="E2017" s="3"/>
      <c r="F2017" s="3"/>
      <c r="G2017" s="3"/>
      <c r="H2017" s="3"/>
      <c r="I2017" s="3"/>
      <c r="J2017" s="3"/>
    </row>
    <row r="2018" spans="4:10" s="22" customFormat="1" x14ac:dyDescent="0.35">
      <c r="D2018" s="3" t="s">
        <v>394</v>
      </c>
      <c r="E2018" s="3"/>
      <c r="F2018" s="3"/>
      <c r="G2018" s="3"/>
      <c r="H2018" s="3"/>
      <c r="I2018" s="3"/>
      <c r="J2018" s="3"/>
    </row>
    <row r="2019" spans="4:10" s="22" customFormat="1" x14ac:dyDescent="0.35">
      <c r="D2019" s="3"/>
      <c r="E2019" s="3"/>
      <c r="F2019" s="3"/>
      <c r="G2019" s="3"/>
      <c r="H2019" s="3"/>
      <c r="I2019" s="3"/>
      <c r="J2019" s="3"/>
    </row>
    <row r="2020" spans="4:10" s="22" customFormat="1" x14ac:dyDescent="0.35">
      <c r="D2020" s="3"/>
      <c r="E2020" s="3"/>
      <c r="F2020" s="3"/>
      <c r="G2020" s="3"/>
      <c r="H2020" s="3"/>
      <c r="I2020" s="3"/>
      <c r="J2020" s="3"/>
    </row>
    <row r="2021" spans="4:10" s="22" customFormat="1" x14ac:dyDescent="0.35">
      <c r="D2021" s="3"/>
      <c r="E2021" s="3"/>
      <c r="F2021" s="3"/>
      <c r="G2021" s="3"/>
      <c r="H2021" s="3"/>
      <c r="I2021" s="3"/>
      <c r="J2021" s="3"/>
    </row>
    <row r="2022" spans="4:10" s="22" customFormat="1" x14ac:dyDescent="0.35">
      <c r="D2022" s="3"/>
      <c r="E2022" s="3"/>
      <c r="F2022" s="3"/>
      <c r="G2022" s="3"/>
      <c r="H2022" s="3"/>
      <c r="I2022" s="3"/>
      <c r="J2022" s="3"/>
    </row>
    <row r="2023" spans="4:10" s="22" customFormat="1" x14ac:dyDescent="0.35">
      <c r="D2023" s="3"/>
      <c r="E2023" s="3"/>
      <c r="F2023" s="3"/>
      <c r="G2023" s="3"/>
      <c r="H2023" s="3"/>
      <c r="I2023" s="3"/>
      <c r="J2023" s="3"/>
    </row>
    <row r="2024" spans="4:10" s="22" customFormat="1" x14ac:dyDescent="0.35">
      <c r="D2024" s="3"/>
      <c r="E2024" s="3"/>
      <c r="F2024" s="3"/>
      <c r="G2024" s="3"/>
      <c r="H2024" s="3"/>
      <c r="I2024" s="3"/>
      <c r="J2024" s="3"/>
    </row>
    <row r="2025" spans="4:10" s="22" customFormat="1" x14ac:dyDescent="0.35">
      <c r="D2025" s="3"/>
      <c r="E2025" s="3"/>
      <c r="F2025" s="3"/>
      <c r="G2025" s="3"/>
      <c r="H2025" s="3"/>
      <c r="I2025" s="3"/>
      <c r="J2025" s="3"/>
    </row>
    <row r="2026" spans="4:10" s="22" customFormat="1" x14ac:dyDescent="0.35">
      <c r="D2026" s="3"/>
      <c r="E2026" s="3"/>
      <c r="F2026" s="3"/>
      <c r="G2026" s="3"/>
      <c r="H2026" s="3"/>
      <c r="I2026" s="3"/>
      <c r="J2026" s="3"/>
    </row>
    <row r="2027" spans="4:10" s="22" customFormat="1" x14ac:dyDescent="0.35">
      <c r="D2027" s="3" t="s">
        <v>395</v>
      </c>
      <c r="E2027" s="3"/>
      <c r="F2027" s="3"/>
      <c r="G2027" s="3"/>
      <c r="H2027" s="3"/>
      <c r="I2027" s="3"/>
      <c r="J2027" s="3"/>
    </row>
    <row r="2028" spans="4:10" s="22" customFormat="1" x14ac:dyDescent="0.35">
      <c r="D2028" s="3"/>
      <c r="E2028" s="3"/>
      <c r="F2028" s="3"/>
      <c r="G2028" s="3"/>
      <c r="H2028" s="3"/>
      <c r="I2028" s="3"/>
      <c r="J2028" s="3"/>
    </row>
    <row r="2029" spans="4:10" s="22" customFormat="1" x14ac:dyDescent="0.35">
      <c r="D2029" s="3"/>
      <c r="E2029" s="3"/>
      <c r="F2029" s="3"/>
      <c r="G2029" s="3"/>
      <c r="H2029" s="3"/>
      <c r="I2029" s="3"/>
      <c r="J2029" s="3"/>
    </row>
    <row r="2030" spans="4:10" s="22" customFormat="1" x14ac:dyDescent="0.35">
      <c r="D2030" s="3"/>
      <c r="E2030" s="3"/>
      <c r="F2030" s="3"/>
      <c r="G2030" s="3"/>
      <c r="H2030" s="3"/>
      <c r="I2030" s="3"/>
      <c r="J2030" s="3"/>
    </row>
    <row r="2031" spans="4:10" s="22" customFormat="1" x14ac:dyDescent="0.35">
      <c r="D2031" s="3"/>
      <c r="E2031" s="3"/>
      <c r="F2031" s="3"/>
      <c r="G2031" s="3"/>
      <c r="H2031" s="3"/>
      <c r="I2031" s="3"/>
      <c r="J2031" s="3"/>
    </row>
    <row r="2032" spans="4:10" s="22" customFormat="1" x14ac:dyDescent="0.35">
      <c r="D2032" s="3"/>
      <c r="E2032" s="3"/>
      <c r="F2032" s="3"/>
      <c r="G2032" s="3"/>
      <c r="H2032" s="3"/>
      <c r="I2032" s="3"/>
      <c r="J2032" s="3"/>
    </row>
    <row r="2033" spans="4:10" s="22" customFormat="1" x14ac:dyDescent="0.35">
      <c r="D2033" s="3"/>
      <c r="E2033" s="3"/>
      <c r="F2033" s="3"/>
      <c r="G2033" s="3"/>
      <c r="H2033" s="3"/>
      <c r="I2033" s="3"/>
      <c r="J2033" s="3"/>
    </row>
    <row r="2034" spans="4:10" s="22" customFormat="1" x14ac:dyDescent="0.35">
      <c r="D2034" s="3"/>
      <c r="E2034" s="3"/>
      <c r="F2034" s="3"/>
      <c r="G2034" s="3"/>
      <c r="H2034" s="3"/>
      <c r="I2034" s="3"/>
      <c r="J2034" s="3"/>
    </row>
    <row r="2035" spans="4:10" s="22" customFormat="1" x14ac:dyDescent="0.35">
      <c r="D2035" s="3"/>
      <c r="E2035" s="3"/>
      <c r="F2035" s="3"/>
      <c r="G2035" s="3"/>
      <c r="H2035" s="3"/>
      <c r="I2035" s="3"/>
      <c r="J2035" s="3"/>
    </row>
    <row r="2036" spans="4:10" s="22" customFormat="1" x14ac:dyDescent="0.35">
      <c r="D2036" s="3"/>
      <c r="E2036" s="3"/>
      <c r="F2036" s="3"/>
      <c r="G2036" s="3"/>
      <c r="H2036" s="3"/>
      <c r="I2036" s="3"/>
      <c r="J2036" s="3"/>
    </row>
    <row r="2037" spans="4:10" s="22" customFormat="1" x14ac:dyDescent="0.35">
      <c r="D2037" s="3"/>
      <c r="E2037" s="3"/>
      <c r="F2037" s="3"/>
      <c r="G2037" s="3"/>
      <c r="H2037" s="3"/>
      <c r="I2037" s="3"/>
      <c r="J2037" s="3"/>
    </row>
    <row r="2038" spans="4:10" s="22" customFormat="1" x14ac:dyDescent="0.35">
      <c r="D2038" s="3"/>
      <c r="E2038" s="3"/>
      <c r="F2038" s="3"/>
      <c r="G2038" s="3"/>
      <c r="H2038" s="3"/>
      <c r="I2038" s="3"/>
      <c r="J2038" s="3"/>
    </row>
    <row r="2039" spans="4:10" s="22" customFormat="1" x14ac:dyDescent="0.35">
      <c r="D2039" s="3"/>
      <c r="E2039" s="3"/>
      <c r="F2039" s="3"/>
      <c r="G2039" s="3"/>
      <c r="H2039" s="3"/>
      <c r="I2039" s="3"/>
      <c r="J2039" s="3"/>
    </row>
    <row r="2040" spans="4:10" s="22" customFormat="1" x14ac:dyDescent="0.35">
      <c r="D2040" s="3"/>
      <c r="E2040" s="3"/>
      <c r="F2040" s="3"/>
      <c r="G2040" s="3"/>
      <c r="H2040" s="3"/>
      <c r="I2040" s="3"/>
      <c r="J2040" s="3"/>
    </row>
    <row r="2041" spans="4:10" s="22" customFormat="1" x14ac:dyDescent="0.35">
      <c r="D2041" s="3"/>
      <c r="E2041" s="3"/>
      <c r="F2041" s="3"/>
      <c r="G2041" s="3"/>
      <c r="H2041" s="3"/>
      <c r="I2041" s="3"/>
      <c r="J2041" s="3"/>
    </row>
    <row r="2042" spans="4:10" s="22" customFormat="1" x14ac:dyDescent="0.35">
      <c r="D2042" s="3"/>
      <c r="E2042" s="3"/>
      <c r="F2042" s="3"/>
      <c r="G2042" s="3"/>
      <c r="H2042" s="3"/>
      <c r="I2042" s="3"/>
      <c r="J2042" s="3"/>
    </row>
    <row r="2043" spans="4:10" s="22" customFormat="1" x14ac:dyDescent="0.35">
      <c r="D2043" s="3"/>
      <c r="E2043" s="3"/>
      <c r="F2043" s="3"/>
      <c r="G2043" s="3"/>
      <c r="H2043" s="3"/>
      <c r="I2043" s="3"/>
      <c r="J2043" s="3"/>
    </row>
    <row r="2044" spans="4:10" s="22" customFormat="1" x14ac:dyDescent="0.35">
      <c r="D2044" s="3"/>
      <c r="E2044" s="3"/>
      <c r="F2044" s="3"/>
      <c r="G2044" s="3"/>
      <c r="H2044" s="3"/>
      <c r="I2044" s="3"/>
      <c r="J2044" s="3"/>
    </row>
    <row r="2045" spans="4:10" s="22" customFormat="1" x14ac:dyDescent="0.35">
      <c r="D2045" s="3"/>
      <c r="E2045" s="3"/>
      <c r="F2045" s="3"/>
      <c r="G2045" s="3"/>
      <c r="H2045" s="3"/>
      <c r="I2045" s="3"/>
      <c r="J2045" s="3"/>
    </row>
    <row r="2046" spans="4:10" s="22" customFormat="1" x14ac:dyDescent="0.35">
      <c r="D2046" s="3"/>
      <c r="E2046" s="3"/>
      <c r="F2046" s="3"/>
      <c r="G2046" s="3"/>
      <c r="H2046" s="3"/>
      <c r="I2046" s="3"/>
      <c r="J2046" s="3"/>
    </row>
    <row r="2047" spans="4:10" s="22" customFormat="1" x14ac:dyDescent="0.35">
      <c r="D2047" s="3"/>
      <c r="E2047" s="3"/>
      <c r="F2047" s="3"/>
      <c r="G2047" s="3"/>
      <c r="H2047" s="3"/>
      <c r="I2047" s="3"/>
      <c r="J2047" s="3"/>
    </row>
    <row r="2048" spans="4:10" s="22" customFormat="1" x14ac:dyDescent="0.35">
      <c r="D2048" s="3"/>
      <c r="E2048" s="3"/>
      <c r="F2048" s="3"/>
      <c r="G2048" s="3"/>
      <c r="H2048" s="3"/>
      <c r="I2048" s="3"/>
      <c r="J2048" s="3"/>
    </row>
    <row r="2049" spans="4:10" s="22" customFormat="1" x14ac:dyDescent="0.35">
      <c r="D2049" s="3"/>
      <c r="E2049" s="3"/>
      <c r="F2049" s="3"/>
      <c r="G2049" s="3"/>
      <c r="H2049" s="3"/>
      <c r="I2049" s="3"/>
      <c r="J2049" s="3"/>
    </row>
    <row r="2050" spans="4:10" s="22" customFormat="1" x14ac:dyDescent="0.35">
      <c r="D2050" s="3"/>
      <c r="E2050" s="3"/>
      <c r="F2050" s="3"/>
      <c r="G2050" s="3"/>
      <c r="H2050" s="3"/>
      <c r="I2050" s="3"/>
      <c r="J2050" s="3"/>
    </row>
    <row r="2051" spans="4:10" s="22" customFormat="1" x14ac:dyDescent="0.35">
      <c r="D2051" s="3"/>
      <c r="E2051" s="3"/>
      <c r="F2051" s="3"/>
      <c r="G2051" s="3"/>
      <c r="H2051" s="3"/>
      <c r="I2051" s="3"/>
      <c r="J2051" s="3"/>
    </row>
    <row r="2052" spans="4:10" s="22" customFormat="1" x14ac:dyDescent="0.35">
      <c r="D2052" s="3"/>
      <c r="E2052" s="3"/>
      <c r="F2052" s="3"/>
      <c r="G2052" s="3"/>
      <c r="H2052" s="3"/>
      <c r="I2052" s="3"/>
      <c r="J2052" s="3"/>
    </row>
    <row r="2053" spans="4:10" s="22" customFormat="1" x14ac:dyDescent="0.35">
      <c r="D2053" s="3" t="s">
        <v>396</v>
      </c>
      <c r="E2053" s="3"/>
      <c r="F2053" s="3"/>
      <c r="G2053" s="3"/>
      <c r="H2053" s="3"/>
      <c r="I2053" s="3"/>
      <c r="J2053" s="3"/>
    </row>
    <row r="2054" spans="4:10" s="22" customFormat="1" x14ac:dyDescent="0.35">
      <c r="D2054" s="3" t="s">
        <v>397</v>
      </c>
      <c r="E2054" s="3"/>
      <c r="F2054" s="3"/>
      <c r="G2054" s="3"/>
      <c r="H2054" s="3"/>
      <c r="I2054" s="3"/>
      <c r="J2054" s="3"/>
    </row>
    <row r="2055" spans="4:10" s="22" customFormat="1" x14ac:dyDescent="0.35">
      <c r="D2055" s="3"/>
      <c r="E2055" s="3"/>
      <c r="F2055" s="3"/>
      <c r="G2055" s="3"/>
      <c r="H2055" s="3"/>
      <c r="I2055" s="3"/>
      <c r="J2055" s="3"/>
    </row>
    <row r="2056" spans="4:10" s="22" customFormat="1" x14ac:dyDescent="0.35">
      <c r="D2056" s="3"/>
      <c r="E2056" s="3"/>
      <c r="F2056" s="3"/>
      <c r="G2056" s="3"/>
      <c r="H2056" s="3"/>
      <c r="I2056" s="3"/>
      <c r="J2056" s="3"/>
    </row>
    <row r="2057" spans="4:10" s="22" customFormat="1" x14ac:dyDescent="0.35">
      <c r="D2057" s="3"/>
      <c r="E2057" s="3"/>
      <c r="F2057" s="3"/>
      <c r="G2057" s="3"/>
      <c r="H2057" s="3"/>
      <c r="I2057" s="3"/>
      <c r="J2057" s="3"/>
    </row>
    <row r="2058" spans="4:10" s="22" customFormat="1" x14ac:dyDescent="0.35">
      <c r="D2058" s="3"/>
      <c r="E2058" s="3"/>
      <c r="F2058" s="3"/>
      <c r="G2058" s="3"/>
      <c r="H2058" s="3"/>
      <c r="I2058" s="3"/>
      <c r="J2058" s="3"/>
    </row>
    <row r="2059" spans="4:10" s="22" customFormat="1" x14ac:dyDescent="0.35">
      <c r="D2059" s="3"/>
      <c r="E2059" s="3"/>
      <c r="F2059" s="3"/>
      <c r="G2059" s="3"/>
      <c r="H2059" s="3"/>
      <c r="I2059" s="3"/>
      <c r="J2059" s="3"/>
    </row>
    <row r="2060" spans="4:10" s="22" customFormat="1" x14ac:dyDescent="0.35">
      <c r="D2060" s="3"/>
      <c r="E2060" s="3"/>
      <c r="F2060" s="3"/>
      <c r="G2060" s="3"/>
      <c r="H2060" s="3"/>
      <c r="I2060" s="3"/>
      <c r="J2060" s="3"/>
    </row>
    <row r="2061" spans="4:10" s="22" customFormat="1" x14ac:dyDescent="0.35">
      <c r="D2061" s="3"/>
      <c r="E2061" s="3"/>
      <c r="F2061" s="3"/>
      <c r="G2061" s="3"/>
      <c r="H2061" s="3"/>
      <c r="I2061" s="3"/>
      <c r="J2061" s="3"/>
    </row>
    <row r="2062" spans="4:10" s="22" customFormat="1" x14ac:dyDescent="0.35">
      <c r="D2062" s="3"/>
      <c r="E2062" s="3"/>
      <c r="F2062" s="3"/>
      <c r="G2062" s="3"/>
      <c r="H2062" s="3"/>
      <c r="I2062" s="3"/>
      <c r="J2062" s="3"/>
    </row>
    <row r="2063" spans="4:10" s="22" customFormat="1" x14ac:dyDescent="0.35">
      <c r="D2063" s="3"/>
      <c r="E2063" s="3"/>
      <c r="F2063" s="3"/>
      <c r="G2063" s="3"/>
      <c r="H2063" s="3"/>
      <c r="I2063" s="3"/>
      <c r="J2063" s="3"/>
    </row>
    <row r="2064" spans="4:10" s="22" customFormat="1" x14ac:dyDescent="0.35">
      <c r="D2064" s="3"/>
      <c r="E2064" s="3"/>
      <c r="F2064" s="3"/>
      <c r="G2064" s="3"/>
      <c r="H2064" s="3"/>
      <c r="I2064" s="3"/>
      <c r="J2064" s="3"/>
    </row>
    <row r="2065" spans="4:10" s="22" customFormat="1" x14ac:dyDescent="0.35">
      <c r="D2065" s="3"/>
      <c r="E2065" s="3"/>
      <c r="F2065" s="3"/>
      <c r="G2065" s="3"/>
      <c r="H2065" s="3"/>
      <c r="I2065" s="3"/>
      <c r="J2065" s="3"/>
    </row>
    <row r="2066" spans="4:10" s="22" customFormat="1" x14ac:dyDescent="0.35">
      <c r="D2066" s="3"/>
      <c r="E2066" s="3"/>
      <c r="F2066" s="3"/>
      <c r="G2066" s="3"/>
      <c r="H2066" s="3"/>
      <c r="I2066" s="3"/>
      <c r="J2066" s="3"/>
    </row>
    <row r="2067" spans="4:10" s="22" customFormat="1" x14ac:dyDescent="0.35">
      <c r="D2067" s="3"/>
      <c r="E2067" s="3"/>
      <c r="F2067" s="3"/>
      <c r="G2067" s="3"/>
      <c r="H2067" s="3"/>
      <c r="I2067" s="3"/>
      <c r="J2067" s="3"/>
    </row>
    <row r="2068" spans="4:10" s="22" customFormat="1" x14ac:dyDescent="0.35">
      <c r="D2068" s="3"/>
      <c r="E2068" s="3"/>
      <c r="F2068" s="3"/>
      <c r="G2068" s="3"/>
      <c r="H2068" s="3"/>
      <c r="I2068" s="3"/>
      <c r="J2068" s="3"/>
    </row>
    <row r="2069" spans="4:10" s="22" customFormat="1" x14ac:dyDescent="0.35">
      <c r="D2069" s="3"/>
      <c r="E2069" s="3"/>
      <c r="F2069" s="3"/>
      <c r="G2069" s="3"/>
      <c r="H2069" s="3"/>
      <c r="I2069" s="3"/>
      <c r="J2069" s="3"/>
    </row>
    <row r="2070" spans="4:10" s="22" customFormat="1" x14ac:dyDescent="0.35">
      <c r="D2070" s="3"/>
      <c r="E2070" s="3"/>
      <c r="F2070" s="3"/>
      <c r="G2070" s="3"/>
      <c r="H2070" s="3"/>
      <c r="I2070" s="3"/>
      <c r="J2070" s="3"/>
    </row>
    <row r="2071" spans="4:10" s="22" customFormat="1" x14ac:dyDescent="0.35">
      <c r="D2071" s="3"/>
      <c r="E2071" s="3"/>
      <c r="F2071" s="3"/>
      <c r="G2071" s="3"/>
      <c r="H2071" s="3"/>
      <c r="I2071" s="3"/>
      <c r="J2071" s="3"/>
    </row>
    <row r="2072" spans="4:10" s="22" customFormat="1" x14ac:dyDescent="0.35">
      <c r="D2072" s="3"/>
      <c r="E2072" s="3"/>
      <c r="F2072" s="3"/>
      <c r="G2072" s="3"/>
      <c r="H2072" s="3"/>
      <c r="I2072" s="3"/>
      <c r="J2072" s="3"/>
    </row>
    <row r="2073" spans="4:10" s="22" customFormat="1" x14ac:dyDescent="0.35">
      <c r="D2073" s="3"/>
      <c r="E2073" s="3"/>
      <c r="F2073" s="3"/>
      <c r="G2073" s="3"/>
      <c r="H2073" s="3"/>
      <c r="I2073" s="3"/>
      <c r="J2073" s="3"/>
    </row>
    <row r="2074" spans="4:10" s="22" customFormat="1" x14ac:dyDescent="0.35">
      <c r="D2074" s="3"/>
      <c r="E2074" s="3"/>
      <c r="F2074" s="3"/>
      <c r="G2074" s="3"/>
      <c r="H2074" s="3"/>
      <c r="I2074" s="3"/>
      <c r="J2074" s="3"/>
    </row>
    <row r="2075" spans="4:10" s="22" customFormat="1" x14ac:dyDescent="0.35">
      <c r="D2075" s="3"/>
      <c r="E2075" s="3"/>
      <c r="F2075" s="3"/>
      <c r="G2075" s="3"/>
      <c r="H2075" s="3"/>
      <c r="I2075" s="3"/>
      <c r="J2075" s="3"/>
    </row>
    <row r="2076" spans="4:10" s="22" customFormat="1" x14ac:dyDescent="0.35">
      <c r="D2076" s="3"/>
      <c r="E2076" s="3"/>
      <c r="F2076" s="3"/>
      <c r="G2076" s="3"/>
      <c r="H2076" s="3"/>
      <c r="I2076" s="3"/>
      <c r="J2076" s="3"/>
    </row>
    <row r="2077" spans="4:10" s="22" customFormat="1" x14ac:dyDescent="0.35">
      <c r="D2077" s="3"/>
      <c r="E2077" s="3"/>
      <c r="F2077" s="3"/>
      <c r="G2077" s="3"/>
      <c r="H2077" s="3"/>
      <c r="I2077" s="3"/>
      <c r="J2077" s="3"/>
    </row>
    <row r="2078" spans="4:10" s="22" customFormat="1" x14ac:dyDescent="0.35">
      <c r="D2078" s="3"/>
      <c r="E2078" s="3"/>
      <c r="F2078" s="3"/>
      <c r="G2078" s="3"/>
      <c r="H2078" s="3"/>
      <c r="I2078" s="3"/>
      <c r="J2078" s="3"/>
    </row>
    <row r="2079" spans="4:10" s="22" customFormat="1" x14ac:dyDescent="0.35">
      <c r="D2079" s="3"/>
      <c r="E2079" s="3"/>
      <c r="F2079" s="3"/>
      <c r="G2079" s="3"/>
      <c r="H2079" s="3"/>
      <c r="I2079" s="3"/>
      <c r="J2079" s="3"/>
    </row>
    <row r="2080" spans="4:10" s="22" customFormat="1" x14ac:dyDescent="0.35">
      <c r="D2080" s="3"/>
      <c r="E2080" s="3"/>
      <c r="F2080" s="3"/>
      <c r="G2080" s="3"/>
      <c r="H2080" s="3"/>
      <c r="I2080" s="3"/>
      <c r="J2080" s="3"/>
    </row>
    <row r="2081" spans="4:10" s="22" customFormat="1" x14ac:dyDescent="0.35">
      <c r="D2081" s="3"/>
      <c r="E2081" s="3"/>
      <c r="F2081" s="3"/>
      <c r="G2081" s="3"/>
      <c r="H2081" s="3"/>
      <c r="I2081" s="3"/>
      <c r="J2081" s="3"/>
    </row>
    <row r="2082" spans="4:10" s="22" customFormat="1" x14ac:dyDescent="0.35">
      <c r="D2082" s="3"/>
      <c r="E2082" s="3"/>
      <c r="F2082" s="3"/>
      <c r="G2082" s="3"/>
      <c r="H2082" s="3"/>
      <c r="I2082" s="3"/>
      <c r="J2082" s="3"/>
    </row>
    <row r="2083" spans="4:10" s="22" customFormat="1" x14ac:dyDescent="0.35">
      <c r="D2083" s="3"/>
      <c r="E2083" s="3"/>
      <c r="F2083" s="3"/>
      <c r="G2083" s="3"/>
      <c r="H2083" s="3"/>
      <c r="I2083" s="3"/>
      <c r="J2083" s="3"/>
    </row>
    <row r="2084" spans="4:10" s="22" customFormat="1" x14ac:dyDescent="0.35">
      <c r="D2084" s="3"/>
      <c r="E2084" s="3"/>
      <c r="F2084" s="3"/>
      <c r="G2084" s="3"/>
      <c r="H2084" s="3"/>
      <c r="I2084" s="3"/>
      <c r="J2084" s="3"/>
    </row>
    <row r="2085" spans="4:10" s="22" customFormat="1" x14ac:dyDescent="0.35">
      <c r="D2085" s="3"/>
      <c r="E2085" s="3"/>
      <c r="F2085" s="3"/>
      <c r="G2085" s="3"/>
      <c r="H2085" s="3"/>
      <c r="I2085" s="3"/>
      <c r="J2085" s="3"/>
    </row>
    <row r="2086" spans="4:10" s="22" customFormat="1" x14ac:dyDescent="0.35">
      <c r="D2086" s="3"/>
      <c r="E2086" s="3"/>
      <c r="F2086" s="3"/>
      <c r="G2086" s="3"/>
      <c r="H2086" s="3"/>
      <c r="I2086" s="3"/>
      <c r="J2086" s="3"/>
    </row>
    <row r="2087" spans="4:10" s="22" customFormat="1" x14ac:dyDescent="0.35">
      <c r="D2087" s="3"/>
      <c r="E2087" s="3"/>
      <c r="F2087" s="3"/>
      <c r="G2087" s="3"/>
      <c r="H2087" s="3"/>
      <c r="I2087" s="3"/>
      <c r="J2087" s="3"/>
    </row>
    <row r="2088" spans="4:10" s="22" customFormat="1" x14ac:dyDescent="0.35">
      <c r="D2088" s="3"/>
      <c r="E2088" s="3"/>
      <c r="F2088" s="3"/>
      <c r="G2088" s="3"/>
      <c r="H2088" s="3"/>
      <c r="I2088" s="3"/>
      <c r="J2088" s="3"/>
    </row>
    <row r="2089" spans="4:10" s="22" customFormat="1" x14ac:dyDescent="0.35">
      <c r="D2089" s="3"/>
      <c r="E2089" s="3"/>
      <c r="F2089" s="3"/>
      <c r="G2089" s="3"/>
      <c r="H2089" s="3"/>
      <c r="I2089" s="3"/>
      <c r="J2089" s="3"/>
    </row>
    <row r="2090" spans="4:10" s="22" customFormat="1" x14ac:dyDescent="0.35">
      <c r="D2090" s="3"/>
      <c r="E2090" s="3"/>
      <c r="F2090" s="3"/>
      <c r="G2090" s="3"/>
      <c r="H2090" s="3"/>
      <c r="I2090" s="3"/>
      <c r="J2090" s="3"/>
    </row>
    <row r="2091" spans="4:10" s="22" customFormat="1" x14ac:dyDescent="0.35">
      <c r="D2091" s="3"/>
      <c r="E2091" s="3"/>
      <c r="F2091" s="3"/>
      <c r="G2091" s="3"/>
      <c r="H2091" s="3"/>
      <c r="I2091" s="3"/>
      <c r="J2091" s="3"/>
    </row>
    <row r="2092" spans="4:10" s="22" customFormat="1" x14ac:dyDescent="0.35">
      <c r="D2092" s="3"/>
      <c r="E2092" s="3"/>
      <c r="F2092" s="3"/>
      <c r="G2092" s="3"/>
      <c r="H2092" s="3"/>
      <c r="I2092" s="3"/>
      <c r="J2092" s="3"/>
    </row>
    <row r="2093" spans="4:10" s="22" customFormat="1" x14ac:dyDescent="0.35">
      <c r="D2093" s="3"/>
      <c r="E2093" s="3"/>
      <c r="F2093" s="3"/>
      <c r="G2093" s="3"/>
      <c r="H2093" s="3"/>
      <c r="I2093" s="3"/>
      <c r="J2093" s="3"/>
    </row>
    <row r="2094" spans="4:10" s="22" customFormat="1" x14ac:dyDescent="0.35">
      <c r="D2094" s="3"/>
      <c r="E2094" s="3"/>
      <c r="F2094" s="3"/>
      <c r="G2094" s="3"/>
      <c r="H2094" s="3"/>
      <c r="I2094" s="3"/>
      <c r="J2094" s="3"/>
    </row>
    <row r="2095" spans="4:10" s="22" customFormat="1" x14ac:dyDescent="0.35">
      <c r="D2095" s="3"/>
      <c r="E2095" s="3"/>
      <c r="F2095" s="3"/>
      <c r="G2095" s="3"/>
      <c r="H2095" s="3"/>
      <c r="I2095" s="3"/>
      <c r="J2095" s="3"/>
    </row>
    <row r="2096" spans="4:10" s="22" customFormat="1" x14ac:dyDescent="0.35">
      <c r="D2096" s="3"/>
      <c r="E2096" s="3"/>
      <c r="F2096" s="3"/>
      <c r="G2096" s="3"/>
      <c r="H2096" s="3"/>
      <c r="I2096" s="3"/>
      <c r="J2096" s="3"/>
    </row>
    <row r="2097" spans="4:10" s="22" customFormat="1" x14ac:dyDescent="0.35">
      <c r="D2097" s="3"/>
      <c r="E2097" s="3"/>
      <c r="F2097" s="3"/>
      <c r="G2097" s="3"/>
      <c r="H2097" s="3"/>
      <c r="I2097" s="3"/>
      <c r="J2097" s="3"/>
    </row>
    <row r="2098" spans="4:10" s="22" customFormat="1" x14ac:dyDescent="0.35">
      <c r="D2098" s="3"/>
      <c r="E2098" s="3"/>
      <c r="F2098" s="3"/>
      <c r="G2098" s="3"/>
      <c r="H2098" s="3"/>
      <c r="I2098" s="3"/>
      <c r="J2098" s="3"/>
    </row>
    <row r="2099" spans="4:10" s="22" customFormat="1" x14ac:dyDescent="0.35">
      <c r="D2099" s="3"/>
      <c r="E2099" s="3"/>
      <c r="F2099" s="3"/>
      <c r="G2099" s="3"/>
      <c r="H2099" s="3"/>
      <c r="I2099" s="3"/>
      <c r="J2099" s="3"/>
    </row>
    <row r="2100" spans="4:10" s="22" customFormat="1" x14ac:dyDescent="0.35">
      <c r="D2100" s="3"/>
      <c r="E2100" s="3"/>
      <c r="F2100" s="3"/>
      <c r="G2100" s="3"/>
      <c r="H2100" s="3"/>
      <c r="I2100" s="3"/>
      <c r="J2100" s="3"/>
    </row>
    <row r="2101" spans="4:10" s="22" customFormat="1" x14ac:dyDescent="0.35">
      <c r="D2101" s="3"/>
      <c r="E2101" s="3"/>
      <c r="F2101" s="3"/>
      <c r="G2101" s="3"/>
      <c r="H2101" s="3"/>
      <c r="I2101" s="3"/>
      <c r="J2101" s="3"/>
    </row>
    <row r="2102" spans="4:10" s="22" customFormat="1" x14ac:dyDescent="0.35">
      <c r="D2102" s="3"/>
      <c r="E2102" s="3"/>
      <c r="F2102" s="3"/>
      <c r="G2102" s="3"/>
      <c r="H2102" s="3"/>
      <c r="I2102" s="3"/>
      <c r="J2102" s="3"/>
    </row>
    <row r="2103" spans="4:10" s="22" customFormat="1" x14ac:dyDescent="0.35">
      <c r="D2103" s="3"/>
      <c r="E2103" s="3"/>
      <c r="F2103" s="3"/>
      <c r="G2103" s="3"/>
      <c r="H2103" s="3"/>
      <c r="I2103" s="3"/>
      <c r="J2103" s="3"/>
    </row>
    <row r="2104" spans="4:10" s="22" customFormat="1" x14ac:dyDescent="0.35">
      <c r="D2104" s="3"/>
      <c r="E2104" s="3"/>
      <c r="F2104" s="3"/>
      <c r="G2104" s="3"/>
      <c r="H2104" s="3"/>
      <c r="I2104" s="3"/>
      <c r="J2104" s="3"/>
    </row>
    <row r="2105" spans="4:10" s="22" customFormat="1" x14ac:dyDescent="0.35">
      <c r="D2105" s="3"/>
      <c r="E2105" s="3"/>
      <c r="F2105" s="3"/>
      <c r="G2105" s="3"/>
      <c r="H2105" s="3"/>
      <c r="I2105" s="3"/>
      <c r="J2105" s="3"/>
    </row>
    <row r="2106" spans="4:10" s="22" customFormat="1" x14ac:dyDescent="0.35">
      <c r="D2106" s="3"/>
      <c r="E2106" s="3"/>
      <c r="F2106" s="3"/>
      <c r="G2106" s="3"/>
      <c r="H2106" s="3"/>
      <c r="I2106" s="3"/>
      <c r="J2106" s="3"/>
    </row>
    <row r="2107" spans="4:10" s="22" customFormat="1" x14ac:dyDescent="0.35">
      <c r="D2107" s="3"/>
      <c r="E2107" s="3"/>
      <c r="F2107" s="3"/>
      <c r="G2107" s="3"/>
      <c r="H2107" s="3"/>
      <c r="I2107" s="3"/>
      <c r="J2107" s="3"/>
    </row>
    <row r="2108" spans="4:10" s="22" customFormat="1" x14ac:dyDescent="0.35">
      <c r="D2108" s="3"/>
      <c r="E2108" s="3"/>
      <c r="F2108" s="3"/>
      <c r="G2108" s="3"/>
      <c r="H2108" s="3"/>
      <c r="I2108" s="3"/>
      <c r="J2108" s="3"/>
    </row>
    <row r="2109" spans="4:10" s="22" customFormat="1" x14ac:dyDescent="0.35">
      <c r="D2109" s="3"/>
      <c r="E2109" s="3"/>
      <c r="F2109" s="3"/>
      <c r="G2109" s="3"/>
      <c r="H2109" s="3"/>
      <c r="I2109" s="3"/>
      <c r="J2109" s="3"/>
    </row>
    <row r="2110" spans="4:10" s="22" customFormat="1" x14ac:dyDescent="0.35">
      <c r="D2110" s="3"/>
      <c r="E2110" s="3"/>
      <c r="F2110" s="3"/>
      <c r="G2110" s="3"/>
      <c r="H2110" s="3"/>
      <c r="I2110" s="3"/>
      <c r="J2110" s="3"/>
    </row>
    <row r="2111" spans="4:10" s="22" customFormat="1" x14ac:dyDescent="0.35">
      <c r="D2111" s="3" t="s">
        <v>398</v>
      </c>
      <c r="E2111" s="3"/>
      <c r="F2111" s="3"/>
      <c r="G2111" s="3"/>
      <c r="H2111" s="3"/>
      <c r="I2111" s="3"/>
      <c r="J2111" s="3"/>
    </row>
    <row r="2112" spans="4:10" s="22" customFormat="1" x14ac:dyDescent="0.35">
      <c r="D2112" s="3"/>
      <c r="E2112" s="3"/>
      <c r="F2112" s="3"/>
      <c r="G2112" s="3"/>
      <c r="H2112" s="3"/>
      <c r="I2112" s="3"/>
      <c r="J2112" s="3"/>
    </row>
    <row r="2113" spans="4:10" s="22" customFormat="1" x14ac:dyDescent="0.35">
      <c r="D2113" s="3"/>
      <c r="E2113" s="3"/>
      <c r="F2113" s="3"/>
      <c r="G2113" s="3"/>
      <c r="H2113" s="3"/>
      <c r="I2113" s="3"/>
      <c r="J2113" s="3"/>
    </row>
    <row r="2114" spans="4:10" s="22" customFormat="1" x14ac:dyDescent="0.35">
      <c r="D2114" s="3"/>
      <c r="E2114" s="3"/>
      <c r="F2114" s="3"/>
      <c r="G2114" s="3"/>
      <c r="H2114" s="3"/>
      <c r="I2114" s="3"/>
      <c r="J2114" s="3"/>
    </row>
    <row r="2115" spans="4:10" s="22" customFormat="1" x14ac:dyDescent="0.35">
      <c r="D2115" s="3"/>
      <c r="E2115" s="3"/>
      <c r="F2115" s="3"/>
      <c r="G2115" s="3"/>
      <c r="H2115" s="3"/>
      <c r="I2115" s="3"/>
      <c r="J2115" s="3"/>
    </row>
    <row r="2116" spans="4:10" s="22" customFormat="1" x14ac:dyDescent="0.35">
      <c r="D2116" s="3"/>
      <c r="E2116" s="3"/>
      <c r="F2116" s="3"/>
      <c r="G2116" s="3"/>
      <c r="H2116" s="3"/>
      <c r="I2116" s="3"/>
      <c r="J2116" s="3"/>
    </row>
    <row r="2117" spans="4:10" s="22" customFormat="1" x14ac:dyDescent="0.35">
      <c r="D2117" s="3"/>
      <c r="E2117" s="3"/>
      <c r="F2117" s="3"/>
      <c r="G2117" s="3"/>
      <c r="H2117" s="3"/>
      <c r="I2117" s="3"/>
      <c r="J2117" s="3"/>
    </row>
    <row r="2118" spans="4:10" s="22" customFormat="1" x14ac:dyDescent="0.35">
      <c r="D2118" s="3"/>
      <c r="E2118" s="3"/>
      <c r="F2118" s="3"/>
      <c r="G2118" s="3"/>
      <c r="H2118" s="3"/>
      <c r="I2118" s="3"/>
      <c r="J2118" s="3"/>
    </row>
    <row r="2119" spans="4:10" s="22" customFormat="1" x14ac:dyDescent="0.35">
      <c r="D2119" s="3"/>
      <c r="E2119" s="3"/>
      <c r="F2119" s="3"/>
      <c r="G2119" s="3"/>
      <c r="H2119" s="3"/>
      <c r="I2119" s="3"/>
      <c r="J2119" s="3"/>
    </row>
    <row r="2120" spans="4:10" s="22" customFormat="1" x14ac:dyDescent="0.35">
      <c r="D2120" s="3"/>
      <c r="E2120" s="3"/>
      <c r="F2120" s="3"/>
      <c r="G2120" s="3"/>
      <c r="H2120" s="3"/>
      <c r="I2120" s="3"/>
      <c r="J2120" s="3"/>
    </row>
    <row r="2121" spans="4:10" s="22" customFormat="1" x14ac:dyDescent="0.35">
      <c r="D2121" s="3"/>
      <c r="E2121" s="3"/>
      <c r="F2121" s="3"/>
      <c r="G2121" s="3"/>
      <c r="H2121" s="3"/>
      <c r="I2121" s="3"/>
      <c r="J2121" s="3"/>
    </row>
    <row r="2122" spans="4:10" s="22" customFormat="1" x14ac:dyDescent="0.35">
      <c r="D2122" s="3"/>
      <c r="E2122" s="3"/>
      <c r="F2122" s="3"/>
      <c r="G2122" s="3"/>
      <c r="H2122" s="3"/>
      <c r="I2122" s="3"/>
      <c r="J2122" s="3"/>
    </row>
    <row r="2123" spans="4:10" s="22" customFormat="1" x14ac:dyDescent="0.35">
      <c r="D2123" s="3"/>
      <c r="E2123" s="3"/>
      <c r="F2123" s="3"/>
      <c r="G2123" s="3"/>
      <c r="H2123" s="3"/>
      <c r="I2123" s="3"/>
      <c r="J2123" s="3"/>
    </row>
    <row r="2124" spans="4:10" s="22" customFormat="1" x14ac:dyDescent="0.35">
      <c r="D2124" s="3"/>
      <c r="E2124" s="3"/>
      <c r="F2124" s="3"/>
      <c r="G2124" s="3"/>
      <c r="H2124" s="3"/>
      <c r="I2124" s="3"/>
      <c r="J2124" s="3"/>
    </row>
    <row r="2125" spans="4:10" s="22" customFormat="1" x14ac:dyDescent="0.35">
      <c r="D2125" s="3"/>
      <c r="E2125" s="3"/>
      <c r="F2125" s="3"/>
      <c r="G2125" s="3"/>
      <c r="H2125" s="3"/>
      <c r="I2125" s="3"/>
      <c r="J2125" s="3"/>
    </row>
    <row r="2126" spans="4:10" s="22" customFormat="1" x14ac:dyDescent="0.35">
      <c r="D2126" s="3"/>
      <c r="E2126" s="3"/>
      <c r="F2126" s="3"/>
      <c r="G2126" s="3"/>
      <c r="H2126" s="3"/>
      <c r="I2126" s="3"/>
      <c r="J2126" s="3"/>
    </row>
    <row r="2127" spans="4:10" s="22" customFormat="1" x14ac:dyDescent="0.35">
      <c r="D2127" s="3"/>
      <c r="E2127" s="3"/>
      <c r="F2127" s="3"/>
      <c r="G2127" s="3"/>
      <c r="H2127" s="3"/>
      <c r="I2127" s="3"/>
      <c r="J2127" s="3"/>
    </row>
    <row r="2128" spans="4:10" s="22" customFormat="1" x14ac:dyDescent="0.35">
      <c r="D2128" s="3"/>
      <c r="E2128" s="3"/>
      <c r="F2128" s="3"/>
      <c r="G2128" s="3"/>
      <c r="H2128" s="3"/>
      <c r="I2128" s="3"/>
      <c r="J2128" s="3"/>
    </row>
    <row r="2129" spans="4:10" s="22" customFormat="1" x14ac:dyDescent="0.35">
      <c r="D2129" s="3"/>
      <c r="E2129" s="3"/>
      <c r="F2129" s="3"/>
      <c r="G2129" s="3"/>
      <c r="H2129" s="3"/>
      <c r="I2129" s="3"/>
      <c r="J2129" s="3"/>
    </row>
    <row r="2130" spans="4:10" s="22" customFormat="1" x14ac:dyDescent="0.35">
      <c r="D2130" s="3"/>
      <c r="E2130" s="3"/>
      <c r="F2130" s="3"/>
      <c r="G2130" s="3"/>
      <c r="H2130" s="3"/>
      <c r="I2130" s="3"/>
      <c r="J2130" s="3"/>
    </row>
    <row r="2131" spans="4:10" s="22" customFormat="1" x14ac:dyDescent="0.35">
      <c r="D2131" s="3"/>
      <c r="E2131" s="3"/>
      <c r="F2131" s="3"/>
      <c r="G2131" s="3"/>
      <c r="H2131" s="3"/>
      <c r="I2131" s="3"/>
      <c r="J2131" s="3"/>
    </row>
    <row r="2132" spans="4:10" s="22" customFormat="1" x14ac:dyDescent="0.35">
      <c r="D2132" s="3"/>
      <c r="E2132" s="3"/>
      <c r="F2132" s="3"/>
      <c r="G2132" s="3"/>
      <c r="H2132" s="3"/>
      <c r="I2132" s="3"/>
      <c r="J2132" s="3"/>
    </row>
    <row r="2133" spans="4:10" s="22" customFormat="1" x14ac:dyDescent="0.35">
      <c r="D2133" s="3"/>
      <c r="E2133" s="3"/>
      <c r="F2133" s="3"/>
      <c r="G2133" s="3"/>
      <c r="H2133" s="3"/>
      <c r="I2133" s="3"/>
      <c r="J2133" s="3"/>
    </row>
    <row r="2134" spans="4:10" s="22" customFormat="1" x14ac:dyDescent="0.35">
      <c r="D2134" s="3"/>
      <c r="E2134" s="3"/>
      <c r="F2134" s="3"/>
      <c r="G2134" s="3"/>
      <c r="H2134" s="3"/>
      <c r="I2134" s="3"/>
      <c r="J2134" s="3"/>
    </row>
    <row r="2135" spans="4:10" s="22" customFormat="1" x14ac:dyDescent="0.35">
      <c r="D2135" s="3" t="s">
        <v>399</v>
      </c>
      <c r="E2135" s="3"/>
      <c r="F2135" s="3"/>
      <c r="G2135" s="3"/>
      <c r="H2135" s="3"/>
      <c r="I2135" s="3"/>
      <c r="J2135" s="3"/>
    </row>
    <row r="2136" spans="4:10" s="22" customFormat="1" x14ac:dyDescent="0.35">
      <c r="D2136" s="3" t="s">
        <v>400</v>
      </c>
      <c r="E2136" s="3"/>
      <c r="F2136" s="3"/>
      <c r="G2136" s="3"/>
      <c r="H2136" s="3"/>
      <c r="I2136" s="3"/>
      <c r="J2136" s="3"/>
    </row>
    <row r="2137" spans="4:10" s="22" customFormat="1" x14ac:dyDescent="0.35">
      <c r="D2137" s="3"/>
      <c r="E2137" s="3"/>
      <c r="F2137" s="3"/>
      <c r="G2137" s="3"/>
      <c r="H2137" s="3"/>
      <c r="I2137" s="3"/>
      <c r="J2137" s="3"/>
    </row>
    <row r="2138" spans="4:10" s="22" customFormat="1" x14ac:dyDescent="0.35">
      <c r="D2138" s="3"/>
      <c r="E2138" s="3"/>
      <c r="F2138" s="3"/>
      <c r="G2138" s="3"/>
      <c r="H2138" s="3"/>
      <c r="I2138" s="3"/>
      <c r="J2138" s="3"/>
    </row>
    <row r="2139" spans="4:10" s="22" customFormat="1" x14ac:dyDescent="0.35">
      <c r="D2139" s="3"/>
      <c r="E2139" s="3"/>
      <c r="F2139" s="3"/>
      <c r="G2139" s="3"/>
      <c r="H2139" s="3"/>
      <c r="I2139" s="3"/>
      <c r="J2139" s="3"/>
    </row>
    <row r="2140" spans="4:10" s="22" customFormat="1" x14ac:dyDescent="0.35">
      <c r="D2140" s="3"/>
      <c r="E2140" s="3"/>
      <c r="F2140" s="3"/>
      <c r="G2140" s="3"/>
      <c r="H2140" s="3"/>
      <c r="I2140" s="3"/>
      <c r="J2140" s="3"/>
    </row>
    <row r="2141" spans="4:10" s="22" customFormat="1" x14ac:dyDescent="0.35">
      <c r="D2141" s="3"/>
      <c r="E2141" s="3"/>
      <c r="F2141" s="3"/>
      <c r="G2141" s="3"/>
      <c r="H2141" s="3"/>
      <c r="I2141" s="3"/>
      <c r="J2141" s="3"/>
    </row>
    <row r="2142" spans="4:10" s="22" customFormat="1" x14ac:dyDescent="0.35">
      <c r="D2142" s="3"/>
      <c r="E2142" s="3"/>
      <c r="F2142" s="3"/>
      <c r="G2142" s="3"/>
      <c r="H2142" s="3"/>
      <c r="I2142" s="3"/>
      <c r="J2142" s="3"/>
    </row>
    <row r="2143" spans="4:10" s="22" customFormat="1" x14ac:dyDescent="0.35">
      <c r="D2143" s="3"/>
      <c r="E2143" s="3"/>
      <c r="F2143" s="3"/>
      <c r="G2143" s="3"/>
      <c r="H2143" s="3"/>
      <c r="I2143" s="3"/>
      <c r="J2143" s="3"/>
    </row>
    <row r="2144" spans="4:10" s="22" customFormat="1" x14ac:dyDescent="0.35">
      <c r="D2144" s="3"/>
      <c r="E2144" s="3"/>
      <c r="F2144" s="3"/>
      <c r="G2144" s="3"/>
      <c r="H2144" s="3"/>
      <c r="I2144" s="3"/>
      <c r="J2144" s="3"/>
    </row>
    <row r="2145" spans="4:10" s="22" customFormat="1" x14ac:dyDescent="0.35">
      <c r="D2145" s="3"/>
      <c r="E2145" s="3"/>
      <c r="F2145" s="3"/>
      <c r="G2145" s="3"/>
      <c r="H2145" s="3"/>
      <c r="I2145" s="3"/>
      <c r="J2145" s="3"/>
    </row>
    <row r="2146" spans="4:10" s="22" customFormat="1" x14ac:dyDescent="0.35">
      <c r="D2146" s="3"/>
      <c r="E2146" s="3"/>
      <c r="F2146" s="3"/>
      <c r="G2146" s="3"/>
      <c r="H2146" s="3"/>
      <c r="I2146" s="3"/>
      <c r="J2146" s="3"/>
    </row>
    <row r="2147" spans="4:10" s="22" customFormat="1" x14ac:dyDescent="0.35">
      <c r="D2147" s="3"/>
      <c r="E2147" s="3"/>
      <c r="F2147" s="3"/>
      <c r="G2147" s="3"/>
      <c r="H2147" s="3"/>
      <c r="I2147" s="3"/>
      <c r="J2147" s="3"/>
    </row>
    <row r="2148" spans="4:10" s="22" customFormat="1" x14ac:dyDescent="0.35">
      <c r="D2148" s="3"/>
      <c r="E2148" s="3"/>
      <c r="F2148" s="3"/>
      <c r="G2148" s="3"/>
      <c r="H2148" s="3"/>
      <c r="I2148" s="3"/>
      <c r="J2148" s="3"/>
    </row>
    <row r="2149" spans="4:10" s="22" customFormat="1" x14ac:dyDescent="0.35">
      <c r="D2149" s="3"/>
      <c r="E2149" s="3"/>
      <c r="F2149" s="3"/>
      <c r="G2149" s="3"/>
      <c r="H2149" s="3"/>
      <c r="I2149" s="3"/>
      <c r="J2149" s="3"/>
    </row>
    <row r="2150" spans="4:10" s="22" customFormat="1" x14ac:dyDescent="0.35">
      <c r="D2150" s="3"/>
      <c r="E2150" s="3"/>
      <c r="F2150" s="3"/>
      <c r="G2150" s="3"/>
      <c r="H2150" s="3"/>
      <c r="I2150" s="3"/>
      <c r="J2150" s="3"/>
    </row>
    <row r="2151" spans="4:10" s="22" customFormat="1" x14ac:dyDescent="0.35">
      <c r="D2151" s="3"/>
      <c r="E2151" s="3"/>
      <c r="F2151" s="3"/>
      <c r="G2151" s="3"/>
      <c r="H2151" s="3"/>
      <c r="I2151" s="3"/>
      <c r="J2151" s="3"/>
    </row>
    <row r="2152" spans="4:10" s="22" customFormat="1" x14ac:dyDescent="0.35">
      <c r="D2152" s="3"/>
      <c r="E2152" s="3"/>
      <c r="F2152" s="3"/>
      <c r="G2152" s="3"/>
      <c r="H2152" s="3"/>
      <c r="I2152" s="3"/>
      <c r="J2152" s="3"/>
    </row>
    <row r="2153" spans="4:10" s="22" customFormat="1" x14ac:dyDescent="0.35">
      <c r="D2153" s="3"/>
      <c r="E2153" s="3"/>
      <c r="F2153" s="3"/>
      <c r="G2153" s="3"/>
      <c r="H2153" s="3"/>
      <c r="I2153" s="3"/>
      <c r="J2153" s="3"/>
    </row>
    <row r="2154" spans="4:10" s="22" customFormat="1" x14ac:dyDescent="0.35">
      <c r="D2154" s="3"/>
      <c r="E2154" s="3"/>
      <c r="F2154" s="3"/>
      <c r="G2154" s="3"/>
      <c r="H2154" s="3"/>
      <c r="I2154" s="3"/>
      <c r="J2154" s="3"/>
    </row>
    <row r="2155" spans="4:10" s="22" customFormat="1" x14ac:dyDescent="0.35">
      <c r="D2155" s="3"/>
      <c r="E2155" s="3"/>
      <c r="F2155" s="3"/>
      <c r="G2155" s="3"/>
      <c r="H2155" s="3"/>
      <c r="I2155" s="3"/>
      <c r="J2155" s="3"/>
    </row>
    <row r="2156" spans="4:10" s="22" customFormat="1" x14ac:dyDescent="0.35">
      <c r="D2156" s="3"/>
      <c r="E2156" s="3"/>
      <c r="F2156" s="3"/>
      <c r="G2156" s="3"/>
      <c r="H2156" s="3"/>
      <c r="I2156" s="3"/>
      <c r="J2156" s="3"/>
    </row>
    <row r="2157" spans="4:10" s="22" customFormat="1" x14ac:dyDescent="0.35">
      <c r="D2157" s="3"/>
      <c r="E2157" s="3"/>
      <c r="F2157" s="3"/>
      <c r="G2157" s="3"/>
      <c r="H2157" s="3"/>
      <c r="I2157" s="3"/>
      <c r="J2157" s="3"/>
    </row>
    <row r="2158" spans="4:10" s="22" customFormat="1" x14ac:dyDescent="0.35">
      <c r="D2158" s="3"/>
      <c r="E2158" s="3"/>
      <c r="F2158" s="3"/>
      <c r="G2158" s="3"/>
      <c r="H2158" s="3"/>
      <c r="I2158" s="3"/>
      <c r="J2158" s="3"/>
    </row>
    <row r="2159" spans="4:10" s="22" customFormat="1" x14ac:dyDescent="0.35">
      <c r="D2159" s="3"/>
      <c r="E2159" s="3"/>
      <c r="F2159" s="3"/>
      <c r="G2159" s="3"/>
      <c r="H2159" s="3"/>
      <c r="I2159" s="3"/>
      <c r="J2159" s="3"/>
    </row>
    <row r="2160" spans="4:10" s="22" customFormat="1" x14ac:dyDescent="0.35">
      <c r="D2160" s="3"/>
      <c r="E2160" s="3"/>
      <c r="F2160" s="3"/>
      <c r="G2160" s="3"/>
      <c r="H2160" s="3"/>
      <c r="I2160" s="3"/>
      <c r="J2160" s="3"/>
    </row>
    <row r="2161" spans="4:10" s="22" customFormat="1" x14ac:dyDescent="0.35">
      <c r="D2161" s="3"/>
      <c r="E2161" s="3"/>
      <c r="F2161" s="3"/>
      <c r="G2161" s="3"/>
      <c r="H2161" s="3"/>
      <c r="I2161" s="3"/>
      <c r="J2161" s="3"/>
    </row>
    <row r="2162" spans="4:10" s="22" customFormat="1" x14ac:dyDescent="0.35">
      <c r="D2162" s="3"/>
      <c r="E2162" s="3"/>
      <c r="F2162" s="3"/>
      <c r="G2162" s="3"/>
      <c r="H2162" s="3"/>
      <c r="I2162" s="3"/>
      <c r="J2162" s="3"/>
    </row>
    <row r="2163" spans="4:10" s="22" customFormat="1" x14ac:dyDescent="0.35">
      <c r="D2163" s="3"/>
      <c r="E2163" s="3"/>
      <c r="F2163" s="3"/>
      <c r="G2163" s="3"/>
      <c r="H2163" s="3"/>
      <c r="I2163" s="3"/>
      <c r="J2163" s="3"/>
    </row>
    <row r="2164" spans="4:10" s="22" customFormat="1" x14ac:dyDescent="0.35">
      <c r="D2164" s="3"/>
      <c r="E2164" s="3"/>
      <c r="F2164" s="3"/>
      <c r="G2164" s="3"/>
      <c r="H2164" s="3"/>
      <c r="I2164" s="3"/>
      <c r="J2164" s="3"/>
    </row>
    <row r="2165" spans="4:10" s="22" customFormat="1" x14ac:dyDescent="0.35">
      <c r="D2165" s="3"/>
      <c r="E2165" s="3"/>
      <c r="F2165" s="3"/>
      <c r="G2165" s="3"/>
      <c r="H2165" s="3"/>
      <c r="I2165" s="3"/>
      <c r="J2165" s="3"/>
    </row>
    <row r="2166" spans="4:10" s="22" customFormat="1" x14ac:dyDescent="0.35">
      <c r="D2166" s="3"/>
      <c r="E2166" s="3"/>
      <c r="F2166" s="3"/>
      <c r="G2166" s="3"/>
      <c r="H2166" s="3"/>
      <c r="I2166" s="3"/>
      <c r="J2166" s="3"/>
    </row>
    <row r="2167" spans="4:10" s="22" customFormat="1" x14ac:dyDescent="0.35">
      <c r="D2167" s="3"/>
      <c r="E2167" s="3"/>
      <c r="F2167" s="3"/>
      <c r="G2167" s="3"/>
      <c r="H2167" s="3"/>
      <c r="I2167" s="3"/>
      <c r="J2167" s="3"/>
    </row>
    <row r="2168" spans="4:10" s="22" customFormat="1" x14ac:dyDescent="0.35">
      <c r="D2168" s="3"/>
      <c r="E2168" s="3"/>
      <c r="F2168" s="3"/>
      <c r="G2168" s="3"/>
      <c r="H2168" s="3"/>
      <c r="I2168" s="3"/>
      <c r="J2168" s="3"/>
    </row>
    <row r="2169" spans="4:10" s="22" customFormat="1" x14ac:dyDescent="0.35">
      <c r="D2169" s="3" t="s">
        <v>401</v>
      </c>
      <c r="E2169" s="3"/>
      <c r="F2169" s="3"/>
      <c r="G2169" s="3"/>
      <c r="H2169" s="3"/>
      <c r="I2169" s="3"/>
      <c r="J2169" s="3"/>
    </row>
    <row r="2170" spans="4:10" s="22" customFormat="1" x14ac:dyDescent="0.35">
      <c r="D2170" s="3" t="s">
        <v>402</v>
      </c>
      <c r="E2170" s="3"/>
      <c r="F2170" s="3"/>
      <c r="G2170" s="3"/>
      <c r="H2170" s="3"/>
      <c r="I2170" s="3"/>
      <c r="J2170" s="3"/>
    </row>
    <row r="2171" spans="4:10" s="22" customFormat="1" x14ac:dyDescent="0.35">
      <c r="D2171" s="3" t="s">
        <v>403</v>
      </c>
      <c r="E2171" s="3"/>
      <c r="F2171" s="3"/>
      <c r="G2171" s="3"/>
      <c r="H2171" s="3"/>
      <c r="I2171" s="3"/>
      <c r="J2171" s="3"/>
    </row>
    <row r="2172" spans="4:10" s="22" customFormat="1" x14ac:dyDescent="0.35">
      <c r="D2172" s="3" t="s">
        <v>404</v>
      </c>
      <c r="E2172" s="3"/>
      <c r="F2172" s="3"/>
      <c r="G2172" s="3"/>
      <c r="H2172" s="3"/>
      <c r="I2172" s="3"/>
      <c r="J2172" s="3"/>
    </row>
    <row r="2173" spans="4:10" s="22" customFormat="1" x14ac:dyDescent="0.35">
      <c r="D2173" s="3" t="s">
        <v>403</v>
      </c>
      <c r="E2173" s="3"/>
      <c r="F2173" s="3"/>
      <c r="G2173" s="3"/>
      <c r="H2173" s="3"/>
      <c r="I2173" s="3"/>
      <c r="J2173" s="3"/>
    </row>
    <row r="2174" spans="4:10" s="22" customFormat="1" x14ac:dyDescent="0.35">
      <c r="D2174" s="3" t="s">
        <v>405</v>
      </c>
      <c r="E2174" s="3"/>
      <c r="F2174" s="3"/>
      <c r="G2174" s="3"/>
      <c r="H2174" s="3"/>
      <c r="I2174" s="3"/>
      <c r="J2174" s="3"/>
    </row>
    <row r="2175" spans="4:10" s="22" customFormat="1" x14ac:dyDescent="0.35">
      <c r="D2175" s="3" t="s">
        <v>403</v>
      </c>
      <c r="E2175" s="3"/>
      <c r="F2175" s="3"/>
      <c r="G2175" s="3"/>
      <c r="H2175" s="3"/>
      <c r="I2175" s="3"/>
      <c r="J2175" s="3"/>
    </row>
    <row r="2176" spans="4:10" s="22" customFormat="1" x14ac:dyDescent="0.35">
      <c r="D2176" s="3"/>
      <c r="E2176" s="3"/>
      <c r="F2176" s="3"/>
      <c r="G2176" s="3"/>
      <c r="H2176" s="3"/>
      <c r="I2176" s="3"/>
      <c r="J2176" s="3"/>
    </row>
    <row r="2177" spans="4:10" s="22" customFormat="1" x14ac:dyDescent="0.35">
      <c r="D2177" s="3"/>
      <c r="E2177" s="3"/>
      <c r="F2177" s="3"/>
      <c r="G2177" s="3"/>
      <c r="H2177" s="3"/>
      <c r="I2177" s="3"/>
      <c r="J2177" s="3"/>
    </row>
    <row r="2178" spans="4:10" s="22" customFormat="1" x14ac:dyDescent="0.35">
      <c r="D2178" s="3"/>
      <c r="E2178" s="3"/>
      <c r="F2178" s="3"/>
      <c r="G2178" s="3"/>
      <c r="H2178" s="3"/>
      <c r="I2178" s="3"/>
      <c r="J2178" s="3"/>
    </row>
    <row r="2179" spans="4:10" s="22" customFormat="1" x14ac:dyDescent="0.35">
      <c r="D2179" s="3"/>
      <c r="E2179" s="3"/>
      <c r="F2179" s="3"/>
      <c r="G2179" s="3"/>
      <c r="H2179" s="3"/>
      <c r="I2179" s="3"/>
      <c r="J2179" s="3"/>
    </row>
    <row r="2180" spans="4:10" s="22" customFormat="1" x14ac:dyDescent="0.35">
      <c r="D2180" s="3"/>
      <c r="E2180" s="3"/>
      <c r="F2180" s="3"/>
      <c r="G2180" s="3"/>
      <c r="H2180" s="3"/>
      <c r="I2180" s="3"/>
      <c r="J2180" s="3"/>
    </row>
    <row r="2181" spans="4:10" s="22" customFormat="1" x14ac:dyDescent="0.35">
      <c r="D2181" s="3"/>
      <c r="E2181" s="3"/>
      <c r="F2181" s="3"/>
      <c r="G2181" s="3"/>
      <c r="H2181" s="3"/>
      <c r="I2181" s="3"/>
      <c r="J2181" s="3"/>
    </row>
    <row r="2182" spans="4:10" s="22" customFormat="1" x14ac:dyDescent="0.35">
      <c r="D2182" s="3"/>
      <c r="E2182" s="3"/>
      <c r="F2182" s="3"/>
      <c r="G2182" s="3"/>
      <c r="H2182" s="3"/>
      <c r="I2182" s="3"/>
      <c r="J2182" s="3"/>
    </row>
    <row r="2183" spans="4:10" s="22" customFormat="1" x14ac:dyDescent="0.35">
      <c r="D2183" s="3"/>
      <c r="E2183" s="3"/>
      <c r="F2183" s="3"/>
      <c r="G2183" s="3"/>
      <c r="H2183" s="3"/>
      <c r="I2183" s="3"/>
      <c r="J2183" s="3"/>
    </row>
    <row r="2184" spans="4:10" s="22" customFormat="1" x14ac:dyDescent="0.35">
      <c r="D2184" s="3"/>
      <c r="E2184" s="3"/>
      <c r="F2184" s="3"/>
      <c r="G2184" s="3"/>
      <c r="H2184" s="3"/>
      <c r="I2184" s="3"/>
      <c r="J2184" s="3"/>
    </row>
    <row r="2185" spans="4:10" s="22" customFormat="1" x14ac:dyDescent="0.35">
      <c r="D2185" s="3"/>
      <c r="E2185" s="3"/>
      <c r="F2185" s="3"/>
      <c r="G2185" s="3"/>
      <c r="H2185" s="3"/>
      <c r="I2185" s="3"/>
      <c r="J2185" s="3"/>
    </row>
    <row r="2186" spans="4:10" s="22" customFormat="1" x14ac:dyDescent="0.35">
      <c r="D2186" s="3"/>
      <c r="E2186" s="3"/>
      <c r="F2186" s="3"/>
      <c r="G2186" s="3"/>
      <c r="H2186" s="3"/>
      <c r="I2186" s="3"/>
      <c r="J2186" s="3"/>
    </row>
    <row r="2187" spans="4:10" s="22" customFormat="1" x14ac:dyDescent="0.35">
      <c r="D2187" s="3"/>
      <c r="E2187" s="3"/>
      <c r="F2187" s="3"/>
      <c r="G2187" s="3"/>
      <c r="H2187" s="3"/>
      <c r="I2187" s="3"/>
      <c r="J2187" s="3"/>
    </row>
    <row r="2188" spans="4:10" s="22" customFormat="1" x14ac:dyDescent="0.35">
      <c r="D2188" s="3"/>
      <c r="E2188" s="3"/>
      <c r="F2188" s="3"/>
      <c r="G2188" s="3"/>
      <c r="H2188" s="3"/>
      <c r="I2188" s="3"/>
      <c r="J2188" s="3"/>
    </row>
    <row r="2189" spans="4:10" s="22" customFormat="1" x14ac:dyDescent="0.35">
      <c r="D2189" s="3"/>
      <c r="E2189" s="3"/>
      <c r="F2189" s="3"/>
      <c r="G2189" s="3"/>
      <c r="H2189" s="3"/>
      <c r="I2189" s="3"/>
      <c r="J2189" s="3"/>
    </row>
    <row r="2190" spans="4:10" s="22" customFormat="1" x14ac:dyDescent="0.35">
      <c r="D2190" s="3" t="s">
        <v>406</v>
      </c>
      <c r="E2190" s="3"/>
      <c r="F2190" s="3"/>
      <c r="G2190" s="3"/>
      <c r="H2190" s="3"/>
      <c r="I2190" s="3"/>
      <c r="J2190" s="3"/>
    </row>
    <row r="2191" spans="4:10" s="22" customFormat="1" x14ac:dyDescent="0.35">
      <c r="D2191" s="3" t="s">
        <v>276</v>
      </c>
      <c r="E2191" s="3"/>
      <c r="F2191" s="3"/>
      <c r="G2191" s="3"/>
      <c r="H2191" s="3"/>
      <c r="I2191" s="3"/>
      <c r="J2191" s="3"/>
    </row>
    <row r="2192" spans="4:10" s="22" customFormat="1" x14ac:dyDescent="0.35">
      <c r="D2192" s="3"/>
      <c r="E2192" s="3"/>
      <c r="F2192" s="3"/>
      <c r="G2192" s="3"/>
      <c r="H2192" s="3"/>
      <c r="I2192" s="3"/>
      <c r="J2192" s="3"/>
    </row>
    <row r="2193" spans="4:10" s="22" customFormat="1" x14ac:dyDescent="0.35">
      <c r="D2193" s="3" t="s">
        <v>407</v>
      </c>
      <c r="E2193" s="3"/>
      <c r="F2193" s="3"/>
      <c r="G2193" s="3"/>
      <c r="H2193" s="3"/>
      <c r="I2193" s="3"/>
      <c r="J2193" s="3"/>
    </row>
    <row r="2194" spans="4:10" s="22" customFormat="1" x14ac:dyDescent="0.35">
      <c r="D2194" s="3"/>
      <c r="E2194" s="3"/>
      <c r="F2194" s="3"/>
      <c r="G2194" s="3"/>
      <c r="H2194" s="3"/>
      <c r="I2194" s="3"/>
      <c r="J2194" s="3"/>
    </row>
    <row r="2195" spans="4:10" s="22" customFormat="1" x14ac:dyDescent="0.35">
      <c r="D2195" s="3" t="s">
        <v>586</v>
      </c>
      <c r="E2195" s="3"/>
      <c r="F2195" s="3"/>
      <c r="G2195" s="3"/>
      <c r="H2195" s="3"/>
      <c r="I2195" s="3"/>
      <c r="J2195" s="3"/>
    </row>
    <row r="2196" spans="4:10" s="22" customFormat="1" x14ac:dyDescent="0.35">
      <c r="D2196" s="3"/>
      <c r="E2196" s="3"/>
      <c r="F2196" s="3"/>
      <c r="G2196" s="3"/>
      <c r="H2196" s="3"/>
      <c r="I2196" s="3"/>
      <c r="J2196" s="3"/>
    </row>
    <row r="2197" spans="4:10" s="22" customFormat="1" x14ac:dyDescent="0.35">
      <c r="D2197" s="3" t="s">
        <v>587</v>
      </c>
      <c r="E2197" s="3"/>
      <c r="F2197" s="3"/>
      <c r="G2197" s="3"/>
      <c r="H2197" s="3"/>
      <c r="I2197" s="3"/>
      <c r="J2197" s="3"/>
    </row>
    <row r="2198" spans="4:10" s="22" customFormat="1" x14ac:dyDescent="0.35">
      <c r="D2198" s="3"/>
      <c r="E2198" s="3"/>
      <c r="F2198" s="3"/>
      <c r="G2198" s="3"/>
      <c r="H2198" s="3"/>
      <c r="I2198" s="3"/>
      <c r="J2198" s="3"/>
    </row>
    <row r="2199" spans="4:10" s="22" customFormat="1" x14ac:dyDescent="0.35">
      <c r="D2199" s="3" t="s">
        <v>408</v>
      </c>
      <c r="E2199" s="3"/>
      <c r="F2199" s="3"/>
      <c r="G2199" s="3"/>
      <c r="H2199" s="3"/>
      <c r="I2199" s="3"/>
      <c r="J2199" s="3"/>
    </row>
    <row r="2200" spans="4:10" s="22" customFormat="1" x14ac:dyDescent="0.35">
      <c r="D2200" s="3"/>
      <c r="E2200" s="3"/>
      <c r="F2200" s="3"/>
      <c r="G2200" s="3"/>
      <c r="H2200" s="3"/>
      <c r="I2200" s="3"/>
      <c r="J2200" s="3"/>
    </row>
    <row r="2201" spans="4:10" s="22" customFormat="1" x14ac:dyDescent="0.35">
      <c r="D2201" s="87" t="s">
        <v>0</v>
      </c>
      <c r="E2201" s="87" t="s">
        <v>10</v>
      </c>
      <c r="F2201" s="87" t="s">
        <v>5</v>
      </c>
      <c r="G2201" s="87" t="s">
        <v>4</v>
      </c>
      <c r="H2201" s="87" t="s">
        <v>3</v>
      </c>
      <c r="I2201" s="87" t="s">
        <v>2</v>
      </c>
      <c r="J2201" s="87" t="s">
        <v>1</v>
      </c>
    </row>
    <row r="2202" spans="4:10" s="22" customFormat="1" ht="28" x14ac:dyDescent="0.35">
      <c r="D2202" s="88" t="s">
        <v>11</v>
      </c>
      <c r="E2202" s="89">
        <v>267021</v>
      </c>
      <c r="F2202" s="89">
        <v>255324</v>
      </c>
      <c r="G2202" s="89">
        <v>240893</v>
      </c>
      <c r="H2202" s="89">
        <v>225458</v>
      </c>
      <c r="I2202" s="89">
        <v>191754</v>
      </c>
      <c r="J2202" s="89">
        <v>164177</v>
      </c>
    </row>
    <row r="2203" spans="4:10" s="22" customFormat="1" x14ac:dyDescent="0.35">
      <c r="D2203" s="88" t="s">
        <v>409</v>
      </c>
      <c r="E2203" s="90">
        <v>4402</v>
      </c>
      <c r="F2203" s="90">
        <v>3962</v>
      </c>
      <c r="G2203" s="88"/>
      <c r="H2203" s="88"/>
      <c r="I2203" s="88"/>
      <c r="J2203" s="88"/>
    </row>
    <row r="2204" spans="4:10" s="22" customFormat="1" x14ac:dyDescent="0.35">
      <c r="D2204" s="91" t="s">
        <v>410</v>
      </c>
      <c r="E2204" s="90">
        <v>271423</v>
      </c>
      <c r="F2204" s="90">
        <v>259286</v>
      </c>
      <c r="G2204" s="88"/>
      <c r="H2204" s="88"/>
      <c r="I2204" s="88"/>
      <c r="J2204" s="88"/>
    </row>
    <row r="2205" spans="4:10" s="22" customFormat="1" ht="28" x14ac:dyDescent="0.35">
      <c r="D2205" s="88" t="s">
        <v>411</v>
      </c>
      <c r="E2205" s="89">
        <v>154994</v>
      </c>
      <c r="F2205" s="89">
        <v>145788</v>
      </c>
      <c r="G2205" s="89">
        <v>140131</v>
      </c>
      <c r="H2205" s="89">
        <v>127522</v>
      </c>
      <c r="I2205" s="89">
        <v>107554</v>
      </c>
      <c r="J2205" s="89">
        <v>91814</v>
      </c>
    </row>
    <row r="2206" spans="4:10" s="22" customFormat="1" ht="56" x14ac:dyDescent="0.35">
      <c r="D2206" s="88" t="s">
        <v>412</v>
      </c>
      <c r="E2206" s="90">
        <v>4399</v>
      </c>
      <c r="F2206" s="90">
        <v>11648</v>
      </c>
      <c r="G2206" s="88"/>
      <c r="H2206" s="88"/>
      <c r="I2206" s="88"/>
      <c r="J2206" s="88"/>
    </row>
    <row r="2207" spans="4:10" s="22" customFormat="1" x14ac:dyDescent="0.35">
      <c r="D2207" s="88" t="s">
        <v>413</v>
      </c>
      <c r="E2207" s="90">
        <v>1227</v>
      </c>
      <c r="F2207" s="91">
        <v>796</v>
      </c>
      <c r="G2207" s="88"/>
      <c r="H2207" s="88"/>
      <c r="I2207" s="88"/>
      <c r="J2207" s="88"/>
    </row>
    <row r="2208" spans="4:10" s="22" customFormat="1" ht="28" x14ac:dyDescent="0.35">
      <c r="D2208" s="88" t="s">
        <v>414</v>
      </c>
      <c r="E2208" s="90">
        <v>5560</v>
      </c>
      <c r="F2208" s="90">
        <v>5242</v>
      </c>
      <c r="G2208" s="88"/>
      <c r="H2208" s="88"/>
      <c r="I2208" s="88"/>
      <c r="J2208" s="88"/>
    </row>
    <row r="2209" spans="4:10" s="22" customFormat="1" x14ac:dyDescent="0.35">
      <c r="D2209" s="88" t="s">
        <v>415</v>
      </c>
      <c r="E2209" s="90">
        <v>35230</v>
      </c>
      <c r="F2209" s="90">
        <v>30481</v>
      </c>
      <c r="G2209" s="88"/>
      <c r="H2209" s="88"/>
      <c r="I2209" s="88"/>
      <c r="J2209" s="88"/>
    </row>
    <row r="2210" spans="4:10" s="22" customFormat="1" x14ac:dyDescent="0.35">
      <c r="D2210" s="91" t="s">
        <v>416</v>
      </c>
      <c r="E2210" s="90">
        <v>201410</v>
      </c>
      <c r="F2210" s="90">
        <v>193955</v>
      </c>
      <c r="G2210" s="88"/>
      <c r="H2210" s="88"/>
      <c r="I2210" s="88"/>
      <c r="J2210" s="88"/>
    </row>
    <row r="2211" spans="4:10" s="22" customFormat="1" ht="42" x14ac:dyDescent="0.35">
      <c r="D2211" s="91" t="s">
        <v>417</v>
      </c>
      <c r="E2211" s="89">
        <v>66838</v>
      </c>
      <c r="F2211" s="89">
        <v>62165</v>
      </c>
      <c r="G2211" s="89">
        <v>59311</v>
      </c>
      <c r="H2211" s="89">
        <v>54237</v>
      </c>
      <c r="I2211" s="89">
        <v>48453</v>
      </c>
      <c r="J2211" s="89">
        <v>42481</v>
      </c>
    </row>
    <row r="2212" spans="4:10" s="22" customFormat="1" ht="28" x14ac:dyDescent="0.35">
      <c r="D2212" s="88" t="s">
        <v>7</v>
      </c>
      <c r="E2212" s="88" t="s">
        <v>588</v>
      </c>
      <c r="F2212" s="89">
        <v>65331</v>
      </c>
      <c r="G2212" s="89">
        <v>63038</v>
      </c>
      <c r="H2212" s="89">
        <v>56907</v>
      </c>
      <c r="I2212" s="89">
        <v>51687</v>
      </c>
      <c r="J2212" s="89">
        <v>44978</v>
      </c>
    </row>
    <row r="2213" spans="4:10" s="22" customFormat="1" x14ac:dyDescent="0.35">
      <c r="D2213" s="88" t="s">
        <v>418</v>
      </c>
      <c r="E2213" s="90">
        <v>16033</v>
      </c>
      <c r="F2213" s="90">
        <v>16534</v>
      </c>
      <c r="G2213" s="88"/>
      <c r="H2213" s="88"/>
      <c r="I2213" s="88"/>
      <c r="J2213" s="88"/>
    </row>
    <row r="2214" spans="4:10" s="22" customFormat="1" ht="42" x14ac:dyDescent="0.35">
      <c r="D2214" s="88" t="s">
        <v>419</v>
      </c>
      <c r="E2214" s="90">
        <v>49210</v>
      </c>
      <c r="F2214" s="90">
        <v>48553</v>
      </c>
      <c r="G2214" s="89">
        <v>46585</v>
      </c>
      <c r="H2214" s="89">
        <v>42147</v>
      </c>
      <c r="I2214" s="89">
        <v>38327</v>
      </c>
      <c r="J2214" s="89">
        <v>33388</v>
      </c>
    </row>
    <row r="2215" spans="4:10" s="22" customFormat="1" x14ac:dyDescent="0.35">
      <c r="D2215" s="88" t="s">
        <v>9</v>
      </c>
      <c r="E2215" s="91">
        <v>136.01</v>
      </c>
      <c r="F2215" s="88">
        <v>134.19</v>
      </c>
      <c r="G2215" s="88">
        <v>127.74</v>
      </c>
      <c r="H2215" s="88">
        <v>115.19</v>
      </c>
      <c r="I2215" s="88">
        <v>103.62</v>
      </c>
      <c r="J2215" s="88">
        <v>89.27</v>
      </c>
    </row>
    <row r="2216" spans="4:10" s="22" customFormat="1" x14ac:dyDescent="0.35">
      <c r="D2216" s="3"/>
      <c r="E2216" s="3"/>
      <c r="F2216" s="3"/>
      <c r="G2216" s="3"/>
      <c r="H2216" s="3"/>
      <c r="I2216" s="3"/>
      <c r="J2216" s="3"/>
    </row>
    <row r="2217" spans="4:10" s="22" customFormat="1" ht="17" x14ac:dyDescent="0.35">
      <c r="D2217" s="92" t="s">
        <v>420</v>
      </c>
      <c r="E2217" s="3"/>
      <c r="F2217" s="3"/>
      <c r="G2217" s="3"/>
      <c r="H2217" s="3"/>
      <c r="I2217" s="3"/>
      <c r="J2217" s="3"/>
    </row>
    <row r="2218" spans="4:10" s="22" customFormat="1" x14ac:dyDescent="0.35">
      <c r="D2218" s="82"/>
      <c r="E2218" s="3"/>
      <c r="F2218" s="3"/>
      <c r="G2218" s="3"/>
      <c r="H2218" s="3"/>
      <c r="I2218" s="3"/>
      <c r="J2218" s="3"/>
    </row>
    <row r="2219" spans="4:10" s="22" customFormat="1" x14ac:dyDescent="0.35">
      <c r="D2219" s="93" t="s">
        <v>589</v>
      </c>
      <c r="E2219" s="3"/>
      <c r="F2219" s="3"/>
      <c r="G2219" s="3"/>
      <c r="H2219" s="3"/>
      <c r="I2219" s="3"/>
      <c r="J2219" s="3"/>
    </row>
    <row r="2220" spans="4:10" s="22" customFormat="1" x14ac:dyDescent="0.35">
      <c r="D2220" s="93" t="s">
        <v>590</v>
      </c>
      <c r="E2220" s="3"/>
      <c r="F2220" s="3"/>
      <c r="G2220" s="3"/>
      <c r="H2220" s="3"/>
      <c r="I2220" s="3"/>
      <c r="J2220" s="3"/>
    </row>
    <row r="2221" spans="4:10" s="22" customFormat="1" x14ac:dyDescent="0.35">
      <c r="D2221" s="82"/>
      <c r="E2221" s="3"/>
      <c r="F2221" s="3"/>
      <c r="G2221" s="3"/>
      <c r="H2221" s="3"/>
      <c r="I2221" s="3"/>
      <c r="J2221" s="3"/>
    </row>
    <row r="2222" spans="4:10" s="22" customFormat="1" x14ac:dyDescent="0.35">
      <c r="D2222" s="93" t="s">
        <v>421</v>
      </c>
      <c r="E2222" s="3"/>
      <c r="F2222" s="3"/>
      <c r="G2222" s="3"/>
      <c r="H2222" s="3"/>
      <c r="I2222" s="3"/>
      <c r="J2222" s="3"/>
    </row>
    <row r="2223" spans="4:10" s="22" customFormat="1" x14ac:dyDescent="0.35">
      <c r="D2223" s="3"/>
      <c r="E2223" s="3"/>
      <c r="F2223" s="3"/>
      <c r="G2223" s="3"/>
      <c r="H2223" s="3"/>
      <c r="I2223" s="3"/>
      <c r="J2223" s="3"/>
    </row>
    <row r="2224" spans="4:10" s="22" customFormat="1" x14ac:dyDescent="0.35">
      <c r="D2224" s="3" t="s">
        <v>422</v>
      </c>
      <c r="E2224" s="3"/>
      <c r="F2224" s="3"/>
      <c r="G2224" s="3"/>
      <c r="H2224" s="3"/>
      <c r="I2224" s="3"/>
      <c r="J2224" s="3"/>
    </row>
    <row r="2225" spans="4:10" s="22" customFormat="1" x14ac:dyDescent="0.35">
      <c r="D2225" s="82"/>
      <c r="E2225" s="3"/>
      <c r="F2225" s="3"/>
      <c r="G2225" s="3"/>
      <c r="H2225" s="3"/>
      <c r="I2225" s="3"/>
      <c r="J2225" s="3"/>
    </row>
    <row r="2226" spans="4:10" s="22" customFormat="1" x14ac:dyDescent="0.35">
      <c r="D2226" s="93" t="s">
        <v>423</v>
      </c>
      <c r="E2226" s="3"/>
      <c r="F2226" s="3"/>
      <c r="G2226" s="3"/>
      <c r="H2226" s="3"/>
      <c r="I2226" s="3"/>
      <c r="J2226" s="3"/>
    </row>
    <row r="2227" spans="4:10" s="22" customFormat="1" x14ac:dyDescent="0.35">
      <c r="D2227" s="3"/>
      <c r="E2227" s="3"/>
      <c r="F2227" s="3"/>
      <c r="G2227" s="3"/>
      <c r="H2227" s="3"/>
      <c r="I2227" s="3"/>
      <c r="J2227" s="3"/>
    </row>
    <row r="2228" spans="4:10" s="22" customFormat="1" x14ac:dyDescent="0.35">
      <c r="D2228" s="3" t="s">
        <v>424</v>
      </c>
      <c r="E2228" s="3"/>
      <c r="F2228" s="3"/>
      <c r="G2228" s="3"/>
      <c r="H2228" s="3"/>
      <c r="I2228" s="3"/>
      <c r="J2228" s="3"/>
    </row>
    <row r="2229" spans="4:10" s="22" customFormat="1" x14ac:dyDescent="0.35">
      <c r="D2229" s="82"/>
      <c r="E2229" s="3"/>
      <c r="F2229" s="3"/>
      <c r="G2229" s="3"/>
      <c r="H2229" s="3"/>
      <c r="I2229" s="3"/>
      <c r="J2229" s="3"/>
    </row>
    <row r="2230" spans="4:10" s="22" customFormat="1" x14ac:dyDescent="0.35">
      <c r="D2230" s="93" t="s">
        <v>425</v>
      </c>
      <c r="E2230" s="3"/>
      <c r="F2230" s="3"/>
      <c r="G2230" s="3"/>
      <c r="H2230" s="3"/>
      <c r="I2230" s="3"/>
      <c r="J2230" s="3"/>
    </row>
    <row r="2231" spans="4:10" s="22" customFormat="1" x14ac:dyDescent="0.35">
      <c r="D2231" s="3"/>
      <c r="E2231" s="3"/>
      <c r="F2231" s="3"/>
      <c r="G2231" s="3"/>
      <c r="H2231" s="3"/>
      <c r="I2231" s="3"/>
      <c r="J2231" s="3"/>
    </row>
    <row r="2232" spans="4:10" s="22" customFormat="1" x14ac:dyDescent="0.35">
      <c r="D2232" s="3"/>
      <c r="E2232" s="3"/>
      <c r="F2232" s="3"/>
      <c r="G2232" s="3"/>
      <c r="H2232" s="3"/>
      <c r="I2232" s="3"/>
      <c r="J2232" s="3"/>
    </row>
    <row r="2233" spans="4:10" s="22" customFormat="1" x14ac:dyDescent="0.35">
      <c r="D2233" s="3"/>
      <c r="E2233" s="3"/>
      <c r="F2233" s="3"/>
      <c r="G2233" s="3"/>
      <c r="H2233" s="3"/>
      <c r="I2233" s="3"/>
      <c r="J2233" s="3"/>
    </row>
    <row r="2234" spans="4:10" s="22" customFormat="1" ht="22.5" x14ac:dyDescent="0.35">
      <c r="D2234" s="83" t="s">
        <v>426</v>
      </c>
      <c r="E2234" s="3"/>
      <c r="F2234" s="3"/>
      <c r="G2234" s="3"/>
      <c r="H2234" s="3"/>
      <c r="I2234" s="3"/>
      <c r="J2234" s="3"/>
    </row>
    <row r="2235" spans="4:10" s="22" customFormat="1" x14ac:dyDescent="0.35">
      <c r="D2235" s="3"/>
      <c r="E2235" s="3"/>
      <c r="F2235" s="3"/>
      <c r="G2235" s="3"/>
      <c r="H2235" s="3"/>
      <c r="I2235" s="3"/>
      <c r="J2235" s="3"/>
    </row>
    <row r="2236" spans="4:10" s="22" customFormat="1" x14ac:dyDescent="0.35">
      <c r="D2236" s="3" t="s">
        <v>591</v>
      </c>
      <c r="E2236" s="3"/>
      <c r="F2236" s="3"/>
      <c r="G2236" s="3"/>
      <c r="H2236" s="3"/>
      <c r="I2236" s="3"/>
      <c r="J2236" s="3"/>
    </row>
    <row r="2237" spans="4:10" s="22" customFormat="1" x14ac:dyDescent="0.35">
      <c r="D2237" s="3"/>
      <c r="E2237" s="3"/>
      <c r="F2237" s="3"/>
      <c r="G2237" s="3"/>
      <c r="H2237" s="3"/>
      <c r="I2237" s="3"/>
      <c r="J2237" s="3"/>
    </row>
    <row r="2238" spans="4:10" s="22" customFormat="1" x14ac:dyDescent="0.35">
      <c r="D2238" s="3" t="s">
        <v>427</v>
      </c>
      <c r="E2238" s="3"/>
      <c r="F2238" s="3"/>
      <c r="G2238" s="3"/>
      <c r="H2238" s="3"/>
      <c r="I2238" s="3"/>
      <c r="J2238" s="3"/>
    </row>
    <row r="2239" spans="4:10" s="22" customFormat="1" x14ac:dyDescent="0.35">
      <c r="D2239" s="82"/>
      <c r="E2239" s="3"/>
      <c r="F2239" s="3"/>
      <c r="G2239" s="3"/>
      <c r="H2239" s="3"/>
      <c r="I2239" s="3"/>
      <c r="J2239" s="3"/>
    </row>
    <row r="2240" spans="4:10" s="22" customFormat="1" x14ac:dyDescent="0.35">
      <c r="D2240" s="93" t="s">
        <v>592</v>
      </c>
      <c r="E2240" s="3"/>
      <c r="F2240" s="3"/>
      <c r="G2240" s="3"/>
      <c r="H2240" s="3"/>
      <c r="I2240" s="3"/>
      <c r="J2240" s="3"/>
    </row>
    <row r="2241" spans="4:10" s="22" customFormat="1" x14ac:dyDescent="0.35">
      <c r="D2241" s="93" t="s">
        <v>593</v>
      </c>
      <c r="E2241" s="3"/>
      <c r="F2241" s="3"/>
      <c r="G2241" s="3"/>
      <c r="H2241" s="3"/>
      <c r="I2241" s="3"/>
      <c r="J2241" s="3"/>
    </row>
    <row r="2242" spans="4:10" s="22" customFormat="1" x14ac:dyDescent="0.35">
      <c r="D2242" s="93" t="s">
        <v>594</v>
      </c>
      <c r="E2242" s="3"/>
      <c r="F2242" s="3"/>
      <c r="G2242" s="3"/>
      <c r="H2242" s="3"/>
      <c r="I2242" s="3"/>
      <c r="J2242" s="3"/>
    </row>
    <row r="2243" spans="4:10" s="22" customFormat="1" x14ac:dyDescent="0.35">
      <c r="D2243" s="3"/>
      <c r="E2243" s="3"/>
      <c r="F2243" s="3"/>
      <c r="G2243" s="3"/>
      <c r="H2243" s="3"/>
      <c r="I2243" s="3"/>
      <c r="J2243" s="3"/>
    </row>
    <row r="2244" spans="4:10" s="22" customFormat="1" x14ac:dyDescent="0.35">
      <c r="D2244" s="3" t="s">
        <v>428</v>
      </c>
      <c r="E2244" s="3"/>
      <c r="F2244" s="3"/>
      <c r="G2244" s="3"/>
      <c r="H2244" s="3"/>
      <c r="I2244" s="3"/>
      <c r="J2244" s="3"/>
    </row>
    <row r="2245" spans="4:10" s="22" customFormat="1" x14ac:dyDescent="0.35">
      <c r="D2245" s="3"/>
      <c r="E2245" s="3"/>
      <c r="F2245" s="3"/>
      <c r="G2245" s="3"/>
      <c r="H2245" s="3"/>
      <c r="I2245" s="3"/>
      <c r="J2245" s="3"/>
    </row>
    <row r="2246" spans="4:10" s="22" customFormat="1" x14ac:dyDescent="0.35">
      <c r="D2246" s="3" t="s">
        <v>429</v>
      </c>
      <c r="E2246" s="3"/>
      <c r="F2246" s="3"/>
      <c r="G2246" s="3"/>
      <c r="H2246" s="3"/>
      <c r="I2246" s="3"/>
      <c r="J2246" s="3"/>
    </row>
    <row r="2247" spans="4:10" s="22" customFormat="1" x14ac:dyDescent="0.35">
      <c r="D2247" s="3" t="s">
        <v>276</v>
      </c>
      <c r="E2247" s="3"/>
      <c r="F2247" s="3"/>
      <c r="G2247" s="3"/>
      <c r="H2247" s="3"/>
      <c r="I2247" s="3"/>
      <c r="J2247" s="3"/>
    </row>
    <row r="2248" spans="4:10" s="22" customFormat="1" x14ac:dyDescent="0.35">
      <c r="D2248" s="3"/>
      <c r="E2248" s="3"/>
      <c r="F2248" s="3"/>
      <c r="G2248" s="3"/>
      <c r="H2248" s="3"/>
      <c r="I2248" s="3"/>
      <c r="J2248" s="3"/>
    </row>
    <row r="2249" spans="4:10" s="22" customFormat="1" x14ac:dyDescent="0.35">
      <c r="D2249" s="3" t="s">
        <v>595</v>
      </c>
      <c r="E2249" s="3"/>
      <c r="F2249" s="3"/>
      <c r="G2249" s="3"/>
      <c r="H2249" s="3"/>
      <c r="I2249" s="3"/>
      <c r="J2249" s="3"/>
    </row>
    <row r="2250" spans="4:10" s="22" customFormat="1" x14ac:dyDescent="0.35">
      <c r="D2250" s="3"/>
      <c r="E2250" s="3"/>
      <c r="F2250" s="3"/>
      <c r="G2250" s="3"/>
      <c r="H2250" s="3"/>
      <c r="I2250" s="3"/>
      <c r="J2250" s="3"/>
    </row>
    <row r="2251" spans="4:10" s="22" customFormat="1" x14ac:dyDescent="0.35">
      <c r="D2251" s="3" t="s">
        <v>596</v>
      </c>
      <c r="E2251" s="3"/>
      <c r="F2251" s="3"/>
      <c r="G2251" s="3"/>
      <c r="H2251" s="3"/>
      <c r="I2251" s="3"/>
      <c r="J2251" s="3"/>
    </row>
    <row r="2252" spans="4:10" s="22" customFormat="1" x14ac:dyDescent="0.35">
      <c r="D2252" s="82"/>
      <c r="E2252" s="3"/>
      <c r="F2252" s="3"/>
      <c r="G2252" s="3"/>
      <c r="H2252" s="3"/>
      <c r="I2252" s="3"/>
      <c r="J2252" s="3"/>
    </row>
    <row r="2253" spans="4:10" s="22" customFormat="1" x14ac:dyDescent="0.35">
      <c r="D2253" s="82" t="s">
        <v>430</v>
      </c>
      <c r="E2253" s="3"/>
      <c r="F2253" s="3"/>
      <c r="G2253" s="3"/>
      <c r="H2253" s="3"/>
      <c r="I2253" s="3"/>
      <c r="J2253" s="3"/>
    </row>
    <row r="2254" spans="4:10" s="22" customFormat="1" x14ac:dyDescent="0.35">
      <c r="D2254" s="82" t="s">
        <v>431</v>
      </c>
      <c r="E2254" s="3"/>
      <c r="F2254" s="3"/>
      <c r="G2254" s="3"/>
      <c r="H2254" s="3"/>
      <c r="I2254" s="3"/>
      <c r="J2254" s="3"/>
    </row>
    <row r="2255" spans="4:10" s="22" customFormat="1" x14ac:dyDescent="0.35">
      <c r="D2255" s="82" t="s">
        <v>432</v>
      </c>
      <c r="E2255" s="3"/>
      <c r="F2255" s="3"/>
      <c r="G2255" s="3"/>
      <c r="H2255" s="3"/>
      <c r="I2255" s="3"/>
      <c r="J2255" s="3"/>
    </row>
    <row r="2256" spans="4:10" s="22" customFormat="1" x14ac:dyDescent="0.35">
      <c r="D2256" s="82" t="s">
        <v>433</v>
      </c>
      <c r="E2256" s="3"/>
      <c r="F2256" s="3"/>
      <c r="G2256" s="3"/>
      <c r="H2256" s="3"/>
      <c r="I2256" s="3"/>
      <c r="J2256" s="3"/>
    </row>
    <row r="2257" spans="4:10" s="22" customFormat="1" x14ac:dyDescent="0.35">
      <c r="D2257" s="82" t="s">
        <v>434</v>
      </c>
      <c r="E2257" s="3"/>
      <c r="F2257" s="3"/>
      <c r="G2257" s="3"/>
      <c r="H2257" s="3"/>
      <c r="I2257" s="3"/>
      <c r="J2257" s="3"/>
    </row>
    <row r="2258" spans="4:10" s="22" customFormat="1" x14ac:dyDescent="0.35">
      <c r="D2258" s="3"/>
      <c r="E2258" s="3"/>
      <c r="F2258" s="3"/>
      <c r="G2258" s="3"/>
      <c r="H2258" s="3"/>
      <c r="I2258" s="3"/>
      <c r="J2258" s="3"/>
    </row>
    <row r="2259" spans="4:10" s="22" customFormat="1" x14ac:dyDescent="0.35">
      <c r="D2259" s="3" t="s">
        <v>597</v>
      </c>
      <c r="E2259" s="3"/>
      <c r="F2259" s="3"/>
      <c r="G2259" s="3"/>
      <c r="H2259" s="3"/>
      <c r="I2259" s="3"/>
      <c r="J2259" s="3"/>
    </row>
    <row r="2260" spans="4:10" s="22" customFormat="1" x14ac:dyDescent="0.35">
      <c r="D2260" s="3"/>
      <c r="E2260" s="3"/>
      <c r="F2260" s="3"/>
      <c r="G2260" s="3"/>
      <c r="H2260" s="3"/>
      <c r="I2260" s="3"/>
      <c r="J2260" s="3"/>
    </row>
    <row r="2261" spans="4:10" s="22" customFormat="1" x14ac:dyDescent="0.35">
      <c r="D2261" s="3" t="s">
        <v>435</v>
      </c>
      <c r="E2261" s="3"/>
      <c r="F2261" s="3"/>
      <c r="G2261" s="3"/>
      <c r="H2261" s="3"/>
      <c r="I2261" s="3"/>
      <c r="J2261" s="3"/>
    </row>
    <row r="2262" spans="4:10" s="22" customFormat="1" x14ac:dyDescent="0.35">
      <c r="D2262" s="82"/>
      <c r="E2262" s="3"/>
      <c r="F2262" s="3"/>
      <c r="G2262" s="3"/>
      <c r="H2262" s="3"/>
      <c r="I2262" s="3"/>
      <c r="J2262" s="3"/>
    </row>
    <row r="2263" spans="4:10" s="22" customFormat="1" x14ac:dyDescent="0.35">
      <c r="D2263" s="93" t="s">
        <v>598</v>
      </c>
      <c r="E2263" s="3"/>
      <c r="F2263" s="3"/>
      <c r="G2263" s="3"/>
      <c r="H2263" s="3"/>
      <c r="I2263" s="3"/>
      <c r="J2263" s="3"/>
    </row>
    <row r="2264" spans="4:10" s="22" customFormat="1" x14ac:dyDescent="0.35">
      <c r="D2264" s="93" t="s">
        <v>599</v>
      </c>
      <c r="E2264" s="3"/>
      <c r="F2264" s="3"/>
      <c r="G2264" s="3"/>
      <c r="H2264" s="3"/>
      <c r="I2264" s="3"/>
      <c r="J2264" s="3"/>
    </row>
    <row r="2265" spans="4:10" s="22" customFormat="1" x14ac:dyDescent="0.35">
      <c r="D2265" s="3"/>
      <c r="E2265" s="3"/>
      <c r="F2265" s="3"/>
      <c r="G2265" s="3"/>
      <c r="H2265" s="3"/>
      <c r="I2265" s="3"/>
      <c r="J2265" s="3"/>
    </row>
    <row r="2266" spans="4:10" s="22" customFormat="1" x14ac:dyDescent="0.35">
      <c r="D2266" s="3" t="s">
        <v>600</v>
      </c>
      <c r="E2266" s="3"/>
      <c r="F2266" s="3"/>
      <c r="G2266" s="3"/>
      <c r="H2266" s="3"/>
      <c r="I2266" s="3"/>
      <c r="J2266" s="3"/>
    </row>
    <row r="2267" spans="4:10" s="22" customFormat="1" x14ac:dyDescent="0.35">
      <c r="D2267" s="3"/>
      <c r="E2267" s="3"/>
      <c r="F2267" s="3"/>
      <c r="G2267" s="3"/>
      <c r="H2267" s="3"/>
      <c r="I2267" s="3"/>
      <c r="J2267" s="3"/>
    </row>
    <row r="2268" spans="4:10" s="22" customFormat="1" x14ac:dyDescent="0.35">
      <c r="D2268" s="3" t="s">
        <v>436</v>
      </c>
      <c r="E2268" s="3"/>
      <c r="F2268" s="3"/>
      <c r="G2268" s="3"/>
      <c r="H2268" s="3"/>
      <c r="I2268" s="3"/>
      <c r="J2268" s="3"/>
    </row>
    <row r="2269" spans="4:10" s="22" customFormat="1" x14ac:dyDescent="0.35">
      <c r="D2269" s="82"/>
      <c r="E2269" s="3"/>
      <c r="F2269" s="3"/>
      <c r="G2269" s="3"/>
      <c r="H2269" s="3"/>
      <c r="I2269" s="3"/>
      <c r="J2269" s="3"/>
    </row>
    <row r="2270" spans="4:10" s="22" customFormat="1" x14ac:dyDescent="0.35">
      <c r="D2270" s="93" t="s">
        <v>601</v>
      </c>
      <c r="E2270" s="3"/>
      <c r="F2270" s="3"/>
      <c r="G2270" s="3"/>
      <c r="H2270" s="3"/>
      <c r="I2270" s="3"/>
      <c r="J2270" s="3"/>
    </row>
    <row r="2271" spans="4:10" s="22" customFormat="1" x14ac:dyDescent="0.35">
      <c r="D2271" s="93" t="s">
        <v>602</v>
      </c>
      <c r="E2271" s="3"/>
      <c r="F2271" s="3"/>
      <c r="G2271" s="3"/>
      <c r="H2271" s="3"/>
      <c r="I2271" s="3"/>
      <c r="J2271" s="3"/>
    </row>
    <row r="2272" spans="4:10" s="22" customFormat="1" x14ac:dyDescent="0.35">
      <c r="D2272" s="3"/>
      <c r="E2272" s="3"/>
      <c r="F2272" s="3"/>
      <c r="G2272" s="3"/>
      <c r="H2272" s="3"/>
      <c r="I2272" s="3"/>
      <c r="J2272" s="3"/>
    </row>
    <row r="2273" spans="4:10" s="22" customFormat="1" x14ac:dyDescent="0.35">
      <c r="D2273" s="3"/>
      <c r="E2273" s="3"/>
      <c r="F2273" s="3"/>
      <c r="G2273" s="3"/>
      <c r="H2273" s="3"/>
      <c r="I2273" s="3"/>
      <c r="J2273" s="3"/>
    </row>
    <row r="2274" spans="4:10" s="22" customFormat="1" x14ac:dyDescent="0.35">
      <c r="D2274" s="3"/>
      <c r="E2274" s="3"/>
      <c r="F2274" s="3"/>
      <c r="G2274" s="3"/>
      <c r="H2274" s="3"/>
      <c r="I2274" s="3"/>
      <c r="J2274" s="3"/>
    </row>
    <row r="2275" spans="4:10" s="22" customFormat="1" x14ac:dyDescent="0.35">
      <c r="D2275" s="3"/>
      <c r="E2275" s="3"/>
      <c r="F2275" s="3"/>
      <c r="G2275" s="3"/>
      <c r="H2275" s="3"/>
      <c r="I2275" s="3"/>
      <c r="J2275" s="3"/>
    </row>
    <row r="2276" spans="4:10" s="22" customFormat="1" x14ac:dyDescent="0.35">
      <c r="D2276" s="3"/>
      <c r="E2276" s="3"/>
      <c r="F2276" s="3"/>
      <c r="G2276" s="3"/>
      <c r="H2276" s="3"/>
      <c r="I2276" s="3"/>
      <c r="J2276" s="3"/>
    </row>
    <row r="2277" spans="4:10" s="22" customFormat="1" x14ac:dyDescent="0.35">
      <c r="D2277" s="3"/>
      <c r="E2277" s="3"/>
      <c r="F2277" s="3"/>
      <c r="G2277" s="3"/>
      <c r="H2277" s="3"/>
      <c r="I2277" s="3"/>
      <c r="J2277" s="3"/>
    </row>
    <row r="2278" spans="4:10" s="22" customFormat="1" x14ac:dyDescent="0.35">
      <c r="D2278" s="3"/>
      <c r="E2278" s="3"/>
      <c r="F2278" s="3"/>
      <c r="G2278" s="3"/>
      <c r="H2278" s="3"/>
      <c r="I2278" s="3"/>
      <c r="J2278" s="3"/>
    </row>
    <row r="2279" spans="4:10" s="22" customFormat="1" x14ac:dyDescent="0.35">
      <c r="D2279" s="3"/>
      <c r="E2279" s="3"/>
      <c r="F2279" s="3"/>
      <c r="G2279" s="3"/>
      <c r="H2279" s="3"/>
      <c r="I2279" s="3"/>
      <c r="J2279" s="3"/>
    </row>
    <row r="2280" spans="4:10" s="22" customFormat="1" x14ac:dyDescent="0.35">
      <c r="D2280" s="3"/>
      <c r="E2280" s="3"/>
      <c r="F2280" s="3"/>
      <c r="G2280" s="3"/>
      <c r="H2280" s="3"/>
      <c r="I2280" s="3"/>
      <c r="J2280" s="3"/>
    </row>
    <row r="2281" spans="4:10" s="22" customFormat="1" x14ac:dyDescent="0.35">
      <c r="D2281" s="3"/>
      <c r="E2281" s="3"/>
      <c r="F2281" s="3"/>
      <c r="G2281" s="3"/>
      <c r="H2281" s="3"/>
      <c r="I2281" s="3"/>
      <c r="J2281" s="3"/>
    </row>
    <row r="2282" spans="4:10" s="22" customFormat="1" x14ac:dyDescent="0.35">
      <c r="D2282" s="3"/>
      <c r="E2282" s="3"/>
      <c r="F2282" s="3"/>
      <c r="G2282" s="3"/>
      <c r="H2282" s="3"/>
      <c r="I2282" s="3"/>
      <c r="J2282" s="3"/>
    </row>
    <row r="2283" spans="4:10" s="22" customFormat="1" x14ac:dyDescent="0.35">
      <c r="D2283" s="3"/>
      <c r="E2283" s="3"/>
      <c r="F2283" s="3"/>
      <c r="G2283" s="3"/>
      <c r="H2283" s="3"/>
      <c r="I2283" s="3"/>
      <c r="J2283" s="3"/>
    </row>
    <row r="2284" spans="4:10" s="22" customFormat="1" x14ac:dyDescent="0.35">
      <c r="D2284" s="3"/>
      <c r="E2284" s="3"/>
      <c r="F2284" s="3"/>
      <c r="G2284" s="3"/>
      <c r="H2284" s="3"/>
      <c r="I2284" s="3"/>
      <c r="J2284" s="3"/>
    </row>
    <row r="2285" spans="4:10" s="22" customFormat="1" x14ac:dyDescent="0.35">
      <c r="D2285" s="3"/>
      <c r="E2285" s="3"/>
      <c r="F2285" s="3"/>
      <c r="G2285" s="3"/>
      <c r="H2285" s="3"/>
      <c r="I2285" s="3"/>
      <c r="J2285" s="3"/>
    </row>
    <row r="2286" spans="4:10" s="22" customFormat="1" x14ac:dyDescent="0.35">
      <c r="D2286" s="3"/>
      <c r="E2286" s="3"/>
      <c r="F2286" s="3"/>
      <c r="G2286" s="3"/>
      <c r="H2286" s="3"/>
      <c r="I2286" s="3"/>
      <c r="J2286" s="3"/>
    </row>
    <row r="2287" spans="4:10" s="22" customFormat="1" x14ac:dyDescent="0.35">
      <c r="D2287" s="3"/>
      <c r="E2287" s="3"/>
      <c r="F2287" s="3"/>
      <c r="G2287" s="3"/>
      <c r="H2287" s="3"/>
      <c r="I2287" s="3"/>
      <c r="J2287" s="3"/>
    </row>
    <row r="2288" spans="4:10" s="22" customFormat="1" x14ac:dyDescent="0.35">
      <c r="D2288" s="3"/>
      <c r="E2288" s="3"/>
      <c r="F2288" s="3"/>
      <c r="G2288" s="3"/>
      <c r="H2288" s="3"/>
      <c r="I2288" s="3"/>
      <c r="J2288" s="3"/>
    </row>
    <row r="2289" spans="4:10" s="22" customFormat="1" x14ac:dyDescent="0.35">
      <c r="D2289" s="3"/>
      <c r="E2289" s="3"/>
      <c r="F2289" s="3"/>
      <c r="G2289" s="3"/>
      <c r="H2289" s="3"/>
      <c r="I2289" s="3"/>
      <c r="J2289" s="3"/>
    </row>
    <row r="2290" spans="4:10" s="22" customFormat="1" x14ac:dyDescent="0.35">
      <c r="D2290" s="3"/>
      <c r="E2290" s="3"/>
      <c r="F2290" s="3"/>
      <c r="G2290" s="3"/>
      <c r="H2290" s="3"/>
      <c r="I2290" s="3"/>
      <c r="J2290" s="3"/>
    </row>
    <row r="2291" spans="4:10" s="22" customFormat="1" x14ac:dyDescent="0.35">
      <c r="D2291" s="3"/>
      <c r="E2291" s="3"/>
      <c r="F2291" s="3"/>
      <c r="G2291" s="3"/>
      <c r="H2291" s="3"/>
      <c r="I2291" s="3"/>
      <c r="J2291" s="3"/>
    </row>
    <row r="2292" spans="4:10" s="22" customFormat="1" x14ac:dyDescent="0.35">
      <c r="D2292" s="3"/>
      <c r="E2292" s="3"/>
      <c r="F2292" s="3"/>
      <c r="G2292" s="3"/>
      <c r="H2292" s="3"/>
      <c r="I2292" s="3"/>
      <c r="J2292" s="3"/>
    </row>
    <row r="2293" spans="4:10" s="22" customFormat="1" x14ac:dyDescent="0.35">
      <c r="D2293" s="3"/>
      <c r="E2293" s="3"/>
      <c r="F2293" s="3"/>
      <c r="G2293" s="3"/>
      <c r="H2293" s="3"/>
      <c r="I2293" s="3"/>
      <c r="J2293" s="3"/>
    </row>
    <row r="2294" spans="4:10" s="22" customFormat="1" x14ac:dyDescent="0.35">
      <c r="D2294" s="3"/>
      <c r="E2294" s="3"/>
      <c r="F2294" s="3"/>
      <c r="G2294" s="3"/>
      <c r="H2294" s="3"/>
      <c r="I2294" s="3"/>
      <c r="J2294" s="3"/>
    </row>
    <row r="2295" spans="4:10" s="22" customFormat="1" x14ac:dyDescent="0.35">
      <c r="D2295" s="3"/>
      <c r="E2295" s="3"/>
      <c r="F2295" s="3"/>
      <c r="G2295" s="3"/>
      <c r="H2295" s="3"/>
      <c r="I2295" s="3"/>
      <c r="J2295" s="3"/>
    </row>
    <row r="2296" spans="4:10" s="22" customFormat="1" x14ac:dyDescent="0.35">
      <c r="D2296" s="3"/>
      <c r="E2296" s="3"/>
      <c r="F2296" s="3"/>
      <c r="G2296" s="3"/>
      <c r="H2296" s="3"/>
      <c r="I2296" s="3"/>
      <c r="J2296" s="3"/>
    </row>
    <row r="2297" spans="4:10" s="22" customFormat="1" x14ac:dyDescent="0.35">
      <c r="D2297" s="3"/>
      <c r="E2297" s="3"/>
      <c r="F2297" s="3"/>
      <c r="G2297" s="3"/>
      <c r="H2297" s="3"/>
      <c r="I2297" s="3"/>
      <c r="J2297" s="3"/>
    </row>
    <row r="2298" spans="4:10" s="22" customFormat="1" x14ac:dyDescent="0.35">
      <c r="D2298" s="3"/>
      <c r="E2298" s="3"/>
      <c r="F2298" s="3"/>
      <c r="G2298" s="3"/>
      <c r="H2298" s="3"/>
      <c r="I2298" s="3"/>
      <c r="J2298" s="3"/>
    </row>
    <row r="2299" spans="4:10" s="22" customFormat="1" x14ac:dyDescent="0.35">
      <c r="D2299" s="3"/>
      <c r="E2299" s="3"/>
      <c r="F2299" s="3"/>
      <c r="G2299" s="3"/>
      <c r="H2299" s="3"/>
      <c r="I2299" s="3"/>
      <c r="J2299" s="3"/>
    </row>
    <row r="2300" spans="4:10" s="22" customFormat="1" x14ac:dyDescent="0.35">
      <c r="D2300" s="3"/>
      <c r="E2300" s="3"/>
      <c r="F2300" s="3"/>
      <c r="G2300" s="3"/>
      <c r="H2300" s="3"/>
      <c r="I2300" s="3"/>
      <c r="J2300" s="3"/>
    </row>
    <row r="2301" spans="4:10" s="22" customFormat="1" x14ac:dyDescent="0.35">
      <c r="D2301" s="3" t="s">
        <v>437</v>
      </c>
      <c r="E2301" s="3"/>
      <c r="F2301" s="3"/>
      <c r="G2301" s="3"/>
      <c r="H2301" s="3"/>
      <c r="I2301" s="3"/>
      <c r="J2301" s="3"/>
    </row>
    <row r="2302" spans="4:10" s="22" customFormat="1" x14ac:dyDescent="0.35">
      <c r="D2302" s="3" t="s">
        <v>438</v>
      </c>
      <c r="E2302" s="3"/>
      <c r="F2302" s="3"/>
      <c r="G2302" s="3"/>
      <c r="H2302" s="3"/>
      <c r="I2302" s="3"/>
      <c r="J2302" s="3"/>
    </row>
    <row r="2303" spans="4:10" s="22" customFormat="1" x14ac:dyDescent="0.35">
      <c r="D2303" s="3" t="s">
        <v>276</v>
      </c>
      <c r="E2303" s="3"/>
      <c r="F2303" s="3"/>
      <c r="G2303" s="3"/>
      <c r="H2303" s="3"/>
      <c r="I2303" s="3"/>
      <c r="J2303" s="3"/>
    </row>
    <row r="2304" spans="4:10" s="22" customFormat="1" x14ac:dyDescent="0.35">
      <c r="D2304" s="3"/>
      <c r="E2304" s="3"/>
      <c r="F2304" s="3"/>
      <c r="G2304" s="3"/>
      <c r="H2304" s="3"/>
      <c r="I2304" s="3"/>
      <c r="J2304" s="3"/>
    </row>
    <row r="2305" spans="4:10" s="22" customFormat="1" x14ac:dyDescent="0.35">
      <c r="D2305" s="3" t="s">
        <v>603</v>
      </c>
      <c r="E2305" s="3"/>
      <c r="F2305" s="3"/>
      <c r="G2305" s="3"/>
      <c r="H2305" s="3"/>
      <c r="I2305" s="3"/>
      <c r="J2305" s="3"/>
    </row>
    <row r="2306" spans="4:10" s="22" customFormat="1" x14ac:dyDescent="0.35">
      <c r="D2306" s="3"/>
      <c r="E2306" s="3"/>
      <c r="F2306" s="3"/>
      <c r="G2306" s="3"/>
      <c r="H2306" s="3"/>
      <c r="I2306" s="3"/>
      <c r="J2306" s="3"/>
    </row>
    <row r="2307" spans="4:10" s="22" customFormat="1" x14ac:dyDescent="0.35">
      <c r="D2307" s="3" t="s">
        <v>604</v>
      </c>
      <c r="E2307" s="3"/>
      <c r="F2307" s="3"/>
      <c r="G2307" s="3"/>
      <c r="H2307" s="3"/>
      <c r="I2307" s="3"/>
      <c r="J2307" s="3"/>
    </row>
    <row r="2308" spans="4:10" s="22" customFormat="1" x14ac:dyDescent="0.35">
      <c r="D2308" s="3"/>
      <c r="E2308" s="3"/>
      <c r="F2308" s="3"/>
      <c r="G2308" s="3"/>
      <c r="H2308" s="3"/>
      <c r="I2308" s="3"/>
      <c r="J2308" s="3"/>
    </row>
    <row r="2309" spans="4:10" s="22" customFormat="1" x14ac:dyDescent="0.35">
      <c r="D2309" s="87" t="s">
        <v>439</v>
      </c>
      <c r="E2309" s="87" t="s">
        <v>10</v>
      </c>
      <c r="F2309" s="87" t="s">
        <v>5</v>
      </c>
      <c r="G2309" s="87" t="s">
        <v>440</v>
      </c>
      <c r="H2309" s="3"/>
      <c r="I2309" s="3"/>
      <c r="J2309" s="3"/>
    </row>
    <row r="2310" spans="4:10" s="22" customFormat="1" ht="28" x14ac:dyDescent="0.35">
      <c r="D2310" s="88" t="s">
        <v>23</v>
      </c>
      <c r="E2310" s="90">
        <v>11032</v>
      </c>
      <c r="F2310" s="90">
        <v>10978</v>
      </c>
      <c r="G2310" s="88" t="s">
        <v>441</v>
      </c>
      <c r="H2310" s="3"/>
      <c r="I2310" s="3"/>
      <c r="J2310" s="3"/>
    </row>
    <row r="2311" spans="4:10" s="22" customFormat="1" ht="28" x14ac:dyDescent="0.35">
      <c r="D2311" s="88" t="s">
        <v>24</v>
      </c>
      <c r="E2311" s="90">
        <v>11027</v>
      </c>
      <c r="F2311" s="90">
        <v>9275</v>
      </c>
      <c r="G2311" s="88" t="s">
        <v>441</v>
      </c>
      <c r="H2311" s="3"/>
      <c r="I2311" s="3"/>
      <c r="J2311" s="3"/>
    </row>
    <row r="2312" spans="4:10" s="22" customFormat="1" ht="28" x14ac:dyDescent="0.35">
      <c r="D2312" s="88" t="s">
        <v>25</v>
      </c>
      <c r="E2312" s="90">
        <v>2665</v>
      </c>
      <c r="F2312" s="90">
        <v>1546</v>
      </c>
      <c r="G2312" s="88" t="s">
        <v>441</v>
      </c>
      <c r="H2312" s="3"/>
      <c r="I2312" s="3"/>
      <c r="J2312" s="3"/>
    </row>
    <row r="2313" spans="4:10" s="22" customFormat="1" x14ac:dyDescent="0.35">
      <c r="D2313" s="88" t="s">
        <v>26</v>
      </c>
      <c r="E2313" s="90">
        <v>9108</v>
      </c>
      <c r="F2313" s="90">
        <v>1860</v>
      </c>
      <c r="G2313" s="88" t="s">
        <v>441</v>
      </c>
      <c r="H2313" s="3"/>
      <c r="I2313" s="3"/>
      <c r="J2313" s="3"/>
    </row>
    <row r="2314" spans="4:10" s="22" customFormat="1" ht="28" x14ac:dyDescent="0.35">
      <c r="D2314" s="88" t="s">
        <v>27</v>
      </c>
      <c r="E2314" s="91">
        <v>176</v>
      </c>
      <c r="F2314" s="91">
        <v>940</v>
      </c>
      <c r="G2314" s="88" t="s">
        <v>441</v>
      </c>
      <c r="H2314" s="3"/>
      <c r="I2314" s="3"/>
      <c r="J2314" s="3"/>
    </row>
    <row r="2315" spans="4:10" s="22" customFormat="1" ht="28" x14ac:dyDescent="0.35">
      <c r="D2315" s="88" t="s">
        <v>442</v>
      </c>
      <c r="E2315" s="91">
        <v>218</v>
      </c>
      <c r="F2315" s="91">
        <v>275</v>
      </c>
      <c r="G2315" s="88" t="s">
        <v>441</v>
      </c>
      <c r="H2315" s="3"/>
      <c r="I2315" s="3"/>
      <c r="J2315" s="3"/>
    </row>
    <row r="2316" spans="4:10" s="22" customFormat="1" ht="28" x14ac:dyDescent="0.35">
      <c r="D2316" s="88" t="s">
        <v>54</v>
      </c>
      <c r="E2316" s="90">
        <v>4465</v>
      </c>
      <c r="F2316" s="90">
        <v>3578</v>
      </c>
      <c r="G2316" s="88" t="s">
        <v>441</v>
      </c>
      <c r="H2316" s="3"/>
      <c r="I2316" s="3"/>
      <c r="J2316" s="3"/>
    </row>
    <row r="2317" spans="4:10" s="22" customFormat="1" ht="28" x14ac:dyDescent="0.35">
      <c r="D2317" s="88" t="s">
        <v>443</v>
      </c>
      <c r="E2317" s="90">
        <v>2605</v>
      </c>
      <c r="F2317" s="90">
        <v>3712</v>
      </c>
      <c r="G2317" s="88" t="s">
        <v>441</v>
      </c>
      <c r="H2317" s="3"/>
      <c r="I2317" s="3"/>
      <c r="J2317" s="3"/>
    </row>
    <row r="2318" spans="4:10" s="22" customFormat="1" ht="28" x14ac:dyDescent="0.35">
      <c r="D2318" s="91" t="s">
        <v>29</v>
      </c>
      <c r="E2318" s="90">
        <v>46667</v>
      </c>
      <c r="F2318" s="90">
        <v>36618</v>
      </c>
      <c r="G2318" s="88" t="s">
        <v>444</v>
      </c>
      <c r="H2318" s="3"/>
      <c r="I2318" s="3"/>
      <c r="J2318" s="3"/>
    </row>
    <row r="2319" spans="4:10" s="22" customFormat="1" x14ac:dyDescent="0.35">
      <c r="D2319" s="88" t="s">
        <v>31</v>
      </c>
      <c r="E2319" s="91">
        <v>29</v>
      </c>
      <c r="F2319" s="91">
        <v>21</v>
      </c>
      <c r="G2319" s="88" t="s">
        <v>441</v>
      </c>
      <c r="H2319" s="3"/>
      <c r="I2319" s="3"/>
      <c r="J2319" s="3"/>
    </row>
    <row r="2320" spans="4:10" s="22" customFormat="1" ht="112" x14ac:dyDescent="0.35">
      <c r="D2320" s="88" t="s">
        <v>234</v>
      </c>
      <c r="E2320" s="90">
        <v>57630</v>
      </c>
      <c r="F2320" s="90">
        <v>50142</v>
      </c>
      <c r="G2320" s="88" t="s">
        <v>445</v>
      </c>
      <c r="H2320" s="3"/>
      <c r="I2320" s="3"/>
      <c r="J2320" s="3"/>
    </row>
    <row r="2321" spans="4:10" s="22" customFormat="1" ht="28" x14ac:dyDescent="0.35">
      <c r="D2321" s="88" t="s">
        <v>32</v>
      </c>
      <c r="E2321" s="90">
        <v>6417</v>
      </c>
      <c r="F2321" s="90">
        <v>8342</v>
      </c>
      <c r="G2321" s="88" t="s">
        <v>441</v>
      </c>
      <c r="H2321" s="3"/>
      <c r="I2321" s="3"/>
      <c r="J2321" s="3"/>
    </row>
    <row r="2322" spans="4:10" s="22" customFormat="1" ht="42" x14ac:dyDescent="0.35">
      <c r="D2322" s="88" t="s">
        <v>446</v>
      </c>
      <c r="E2322" s="90">
        <v>6491</v>
      </c>
      <c r="F2322" s="90">
        <v>7121</v>
      </c>
      <c r="G2322" s="88" t="s">
        <v>447</v>
      </c>
      <c r="H2322" s="3"/>
      <c r="I2322" s="3"/>
      <c r="J2322" s="3"/>
    </row>
    <row r="2323" spans="4:10" s="22" customFormat="1" ht="28" x14ac:dyDescent="0.35">
      <c r="D2323" s="88" t="s">
        <v>448</v>
      </c>
      <c r="E2323" s="90">
        <v>33770</v>
      </c>
      <c r="F2323" s="90">
        <v>30689</v>
      </c>
      <c r="G2323" s="88" t="s">
        <v>441</v>
      </c>
      <c r="H2323" s="3"/>
      <c r="I2323" s="3"/>
      <c r="J2323" s="3"/>
    </row>
    <row r="2324" spans="4:10" s="22" customFormat="1" ht="28" x14ac:dyDescent="0.35">
      <c r="D2324" s="88" t="s">
        <v>33</v>
      </c>
      <c r="E2324" s="90">
        <v>1833</v>
      </c>
      <c r="F2324" s="90">
        <v>2742</v>
      </c>
      <c r="G2324" s="88" t="s">
        <v>441</v>
      </c>
      <c r="H2324" s="3"/>
      <c r="I2324" s="3"/>
      <c r="J2324" s="3"/>
    </row>
    <row r="2325" spans="4:10" s="22" customFormat="1" ht="28" x14ac:dyDescent="0.35">
      <c r="D2325" s="88" t="s">
        <v>34</v>
      </c>
      <c r="E2325" s="90">
        <v>16533</v>
      </c>
      <c r="F2325" s="90">
        <v>14784</v>
      </c>
      <c r="G2325" s="88" t="s">
        <v>441</v>
      </c>
      <c r="H2325" s="3"/>
      <c r="I2325" s="3"/>
      <c r="J2325" s="3"/>
    </row>
    <row r="2326" spans="4:10" s="22" customFormat="1" ht="28" x14ac:dyDescent="0.35">
      <c r="D2326" s="91" t="s">
        <v>35</v>
      </c>
      <c r="E2326" s="90">
        <v>135705</v>
      </c>
      <c r="F2326" s="90">
        <v>123011</v>
      </c>
      <c r="G2326" s="88" t="s">
        <v>444</v>
      </c>
      <c r="H2326" s="3"/>
      <c r="I2326" s="3"/>
      <c r="J2326" s="3"/>
    </row>
    <row r="2327" spans="4:10" s="22" customFormat="1" x14ac:dyDescent="0.35">
      <c r="D2327" s="91" t="s">
        <v>36</v>
      </c>
      <c r="E2327" s="90">
        <v>182372</v>
      </c>
      <c r="F2327" s="90">
        <v>159629</v>
      </c>
      <c r="G2327" s="88" t="s">
        <v>444</v>
      </c>
      <c r="H2327" s="3"/>
      <c r="I2327" s="3"/>
      <c r="J2327" s="3"/>
    </row>
    <row r="2328" spans="4:10" s="22" customFormat="1" x14ac:dyDescent="0.35">
      <c r="D2328" s="3"/>
      <c r="E2328" s="3"/>
      <c r="F2328" s="3"/>
      <c r="G2328" s="3"/>
      <c r="H2328" s="3"/>
      <c r="I2328" s="3"/>
      <c r="J2328" s="3"/>
    </row>
    <row r="2329" spans="4:10" s="22" customFormat="1" ht="17" x14ac:dyDescent="0.35">
      <c r="D2329" s="92" t="s">
        <v>449</v>
      </c>
      <c r="E2329" s="3"/>
      <c r="F2329" s="3"/>
      <c r="G2329" s="3"/>
      <c r="H2329" s="3"/>
      <c r="I2329" s="3"/>
      <c r="J2329" s="3"/>
    </row>
    <row r="2330" spans="4:10" s="22" customFormat="1" x14ac:dyDescent="0.35">
      <c r="D2330" s="3"/>
      <c r="E2330" s="3"/>
      <c r="F2330" s="3"/>
      <c r="G2330" s="3"/>
      <c r="H2330" s="3"/>
      <c r="I2330" s="3"/>
      <c r="J2330" s="3"/>
    </row>
    <row r="2331" spans="4:10" s="22" customFormat="1" x14ac:dyDescent="0.35">
      <c r="D2331" s="87" t="s">
        <v>439</v>
      </c>
      <c r="E2331" s="87" t="s">
        <v>10</v>
      </c>
      <c r="F2331" s="87" t="s">
        <v>5</v>
      </c>
      <c r="G2331" s="3"/>
      <c r="H2331" s="3"/>
      <c r="I2331" s="3"/>
      <c r="J2331" s="3"/>
    </row>
    <row r="2332" spans="4:10" s="22" customFormat="1" x14ac:dyDescent="0.35">
      <c r="D2332" s="88" t="s">
        <v>38</v>
      </c>
      <c r="E2332" s="91">
        <v>362</v>
      </c>
      <c r="F2332" s="91">
        <v>362</v>
      </c>
      <c r="G2332" s="3"/>
      <c r="H2332" s="3"/>
      <c r="I2332" s="3"/>
      <c r="J2332" s="3"/>
    </row>
    <row r="2333" spans="4:10" s="22" customFormat="1" x14ac:dyDescent="0.35">
      <c r="D2333" s="88" t="s">
        <v>39</v>
      </c>
      <c r="E2333" s="90">
        <v>106878</v>
      </c>
      <c r="F2333" s="90">
        <v>94394</v>
      </c>
      <c r="G2333" s="3"/>
      <c r="H2333" s="3"/>
      <c r="I2333" s="3"/>
      <c r="J2333" s="3"/>
    </row>
    <row r="2334" spans="4:10" s="22" customFormat="1" x14ac:dyDescent="0.35">
      <c r="D2334" s="91" t="s">
        <v>40</v>
      </c>
      <c r="E2334" s="90">
        <v>108478</v>
      </c>
      <c r="F2334" s="90">
        <v>95771</v>
      </c>
      <c r="G2334" s="3"/>
      <c r="H2334" s="3"/>
      <c r="I2334" s="3"/>
      <c r="J2334" s="3"/>
    </row>
    <row r="2335" spans="4:10" s="22" customFormat="1" ht="98" x14ac:dyDescent="0.35">
      <c r="D2335" s="88" t="s">
        <v>42</v>
      </c>
      <c r="E2335" s="91">
        <v>0</v>
      </c>
      <c r="F2335" s="91" t="s">
        <v>605</v>
      </c>
      <c r="G2335" s="3"/>
      <c r="H2335" s="3"/>
      <c r="I2335" s="3"/>
      <c r="J2335" s="3"/>
    </row>
    <row r="2336" spans="4:10" s="22" customFormat="1" ht="28" x14ac:dyDescent="0.35">
      <c r="D2336" s="88" t="s">
        <v>450</v>
      </c>
      <c r="E2336" s="90">
        <v>9453</v>
      </c>
      <c r="F2336" s="90">
        <v>7838</v>
      </c>
      <c r="G2336" s="3"/>
      <c r="H2336" s="3"/>
      <c r="I2336" s="3"/>
      <c r="J2336" s="3"/>
    </row>
    <row r="2337" spans="4:10" s="22" customFormat="1" ht="28" x14ac:dyDescent="0.35">
      <c r="D2337" s="88" t="s">
        <v>451</v>
      </c>
      <c r="E2337" s="90">
        <v>1205</v>
      </c>
      <c r="F2337" s="91">
        <v>980</v>
      </c>
      <c r="G2337" s="3"/>
      <c r="H2337" s="3"/>
      <c r="I2337" s="3"/>
      <c r="J2337" s="3"/>
    </row>
    <row r="2338" spans="4:10" s="22" customFormat="1" ht="42" x14ac:dyDescent="0.35">
      <c r="D2338" s="88" t="s">
        <v>452</v>
      </c>
      <c r="E2338" s="91" t="s">
        <v>453</v>
      </c>
      <c r="F2338" s="91" t="s">
        <v>454</v>
      </c>
      <c r="G2338" s="3"/>
      <c r="H2338" s="3"/>
      <c r="I2338" s="3"/>
      <c r="J2338" s="3"/>
    </row>
    <row r="2339" spans="4:10" s="22" customFormat="1" ht="42" x14ac:dyDescent="0.35">
      <c r="D2339" s="91" t="s">
        <v>44</v>
      </c>
      <c r="E2339" s="90">
        <v>12980</v>
      </c>
      <c r="F2339" s="90">
        <v>10857</v>
      </c>
      <c r="G2339" s="3"/>
      <c r="H2339" s="3"/>
      <c r="I2339" s="3"/>
      <c r="J2339" s="3"/>
    </row>
    <row r="2340" spans="4:10" s="22" customFormat="1" x14ac:dyDescent="0.35">
      <c r="D2340" s="88" t="s">
        <v>46</v>
      </c>
      <c r="E2340" s="90">
        <v>14808</v>
      </c>
      <c r="F2340" s="90">
        <v>13909</v>
      </c>
      <c r="G2340" s="3"/>
      <c r="H2340" s="3"/>
      <c r="I2340" s="3"/>
      <c r="J2340" s="3"/>
    </row>
    <row r="2341" spans="4:10" s="22" customFormat="1" ht="28" x14ac:dyDescent="0.35">
      <c r="D2341" s="88" t="s">
        <v>47</v>
      </c>
      <c r="E2341" s="90">
        <v>11194</v>
      </c>
      <c r="F2341" s="90">
        <v>8542</v>
      </c>
      <c r="G2341" s="3"/>
      <c r="H2341" s="3"/>
      <c r="I2341" s="3"/>
      <c r="J2341" s="3"/>
    </row>
    <row r="2342" spans="4:10" s="22" customFormat="1" ht="28" x14ac:dyDescent="0.35">
      <c r="D2342" s="88" t="s">
        <v>455</v>
      </c>
      <c r="E2342" s="90">
        <v>1830</v>
      </c>
      <c r="F2342" s="90">
        <v>1554</v>
      </c>
      <c r="G2342" s="3"/>
      <c r="H2342" s="3"/>
      <c r="I2342" s="3"/>
      <c r="J2342" s="3"/>
    </row>
    <row r="2343" spans="4:10" s="22" customFormat="1" ht="28" x14ac:dyDescent="0.35">
      <c r="D2343" s="88" t="s">
        <v>456</v>
      </c>
      <c r="E2343" s="90">
        <v>14751</v>
      </c>
      <c r="F2343" s="90">
        <v>12715</v>
      </c>
      <c r="G2343" s="3"/>
      <c r="H2343" s="3"/>
      <c r="I2343" s="3"/>
      <c r="J2343" s="3"/>
    </row>
    <row r="2344" spans="4:10" s="22" customFormat="1" ht="42" x14ac:dyDescent="0.35">
      <c r="D2344" s="88" t="s">
        <v>457</v>
      </c>
      <c r="E2344" s="91" t="s">
        <v>458</v>
      </c>
      <c r="F2344" s="91" t="s">
        <v>459</v>
      </c>
      <c r="G2344" s="3"/>
      <c r="H2344" s="3"/>
      <c r="I2344" s="3"/>
      <c r="J2344" s="3"/>
    </row>
    <row r="2345" spans="4:10" s="22" customFormat="1" ht="28" x14ac:dyDescent="0.35">
      <c r="D2345" s="91" t="s">
        <v>48</v>
      </c>
      <c r="E2345" s="90">
        <v>60914</v>
      </c>
      <c r="F2345" s="90">
        <v>53001</v>
      </c>
      <c r="G2345" s="3"/>
      <c r="H2345" s="3"/>
      <c r="I2345" s="3"/>
      <c r="J2345" s="3"/>
    </row>
    <row r="2346" spans="4:10" s="22" customFormat="1" x14ac:dyDescent="0.35">
      <c r="D2346" s="91" t="s">
        <v>49</v>
      </c>
      <c r="E2346" s="90">
        <v>73894</v>
      </c>
      <c r="F2346" s="90">
        <v>63858</v>
      </c>
      <c r="G2346" s="3"/>
      <c r="H2346" s="3"/>
      <c r="I2346" s="3"/>
      <c r="J2346" s="3"/>
    </row>
    <row r="2347" spans="4:10" s="22" customFormat="1" ht="28" x14ac:dyDescent="0.35">
      <c r="D2347" s="91" t="s">
        <v>50</v>
      </c>
      <c r="E2347" s="90">
        <v>182372</v>
      </c>
      <c r="F2347" s="90">
        <v>159629</v>
      </c>
      <c r="G2347" s="3"/>
      <c r="H2347" s="3"/>
      <c r="I2347" s="3"/>
      <c r="J2347" s="3"/>
    </row>
    <row r="2348" spans="4:10" s="22" customFormat="1" x14ac:dyDescent="0.35">
      <c r="D2348" s="3"/>
      <c r="E2348" s="3"/>
      <c r="F2348" s="3"/>
      <c r="G2348" s="3"/>
      <c r="H2348" s="3"/>
      <c r="I2348" s="3"/>
      <c r="J2348" s="3"/>
    </row>
    <row r="2349" spans="4:10" s="22" customFormat="1" x14ac:dyDescent="0.35">
      <c r="D2349" s="3"/>
      <c r="E2349" s="3"/>
      <c r="F2349" s="3"/>
      <c r="G2349" s="3"/>
      <c r="H2349" s="3"/>
      <c r="I2349" s="3"/>
      <c r="J2349" s="3"/>
    </row>
    <row r="2350" spans="4:10" s="22" customFormat="1" ht="22.5" x14ac:dyDescent="0.35">
      <c r="D2350" s="83" t="s">
        <v>460</v>
      </c>
      <c r="E2350" s="3"/>
      <c r="F2350" s="3"/>
      <c r="G2350" s="3"/>
      <c r="H2350" s="3"/>
      <c r="I2350" s="3"/>
      <c r="J2350" s="3"/>
    </row>
    <row r="2351" spans="4:10" s="22" customFormat="1" x14ac:dyDescent="0.35">
      <c r="D2351" s="3"/>
      <c r="E2351" s="3"/>
      <c r="F2351" s="3"/>
      <c r="G2351" s="3"/>
      <c r="H2351" s="3"/>
      <c r="I2351" s="3"/>
      <c r="J2351" s="3"/>
    </row>
    <row r="2352" spans="4:10" s="22" customFormat="1" x14ac:dyDescent="0.35">
      <c r="D2352" s="3" t="s">
        <v>461</v>
      </c>
      <c r="E2352" s="3"/>
      <c r="F2352" s="3"/>
      <c r="G2352" s="3"/>
      <c r="H2352" s="3"/>
      <c r="I2352" s="3"/>
      <c r="J2352" s="3"/>
    </row>
    <row r="2353" spans="4:10" s="22" customFormat="1" x14ac:dyDescent="0.35">
      <c r="D2353" s="82"/>
      <c r="E2353" s="3"/>
      <c r="F2353" s="3"/>
      <c r="G2353" s="3"/>
      <c r="H2353" s="3"/>
      <c r="I2353" s="3"/>
      <c r="J2353" s="3"/>
    </row>
    <row r="2354" spans="4:10" s="22" customFormat="1" x14ac:dyDescent="0.35">
      <c r="D2354" s="82" t="s">
        <v>462</v>
      </c>
      <c r="E2354" s="3"/>
      <c r="F2354" s="3"/>
      <c r="G2354" s="3"/>
      <c r="H2354" s="3"/>
      <c r="I2354" s="3"/>
      <c r="J2354" s="3"/>
    </row>
    <row r="2355" spans="4:10" s="22" customFormat="1" x14ac:dyDescent="0.35">
      <c r="D2355" s="82" t="s">
        <v>463</v>
      </c>
      <c r="E2355" s="3"/>
      <c r="F2355" s="3"/>
      <c r="G2355" s="3"/>
      <c r="H2355" s="3"/>
      <c r="I2355" s="3"/>
      <c r="J2355" s="3"/>
    </row>
    <row r="2356" spans="4:10" s="22" customFormat="1" x14ac:dyDescent="0.35">
      <c r="D2356" s="82" t="s">
        <v>464</v>
      </c>
      <c r="E2356" s="3"/>
      <c r="F2356" s="3"/>
      <c r="G2356" s="3"/>
      <c r="H2356" s="3"/>
      <c r="I2356" s="3"/>
      <c r="J2356" s="3"/>
    </row>
    <row r="2357" spans="4:10" s="22" customFormat="1" x14ac:dyDescent="0.35">
      <c r="D2357" s="82" t="s">
        <v>465</v>
      </c>
      <c r="E2357" s="3"/>
      <c r="F2357" s="3"/>
      <c r="G2357" s="3"/>
      <c r="H2357" s="3"/>
      <c r="I2357" s="3"/>
      <c r="J2357" s="3"/>
    </row>
    <row r="2358" spans="4:10" s="22" customFormat="1" x14ac:dyDescent="0.35">
      <c r="D2358" s="3"/>
      <c r="E2358" s="3"/>
      <c r="F2358" s="3"/>
      <c r="G2358" s="3"/>
      <c r="H2358" s="3"/>
      <c r="I2358" s="3"/>
      <c r="J2358" s="3"/>
    </row>
    <row r="2359" spans="4:10" s="22" customFormat="1" x14ac:dyDescent="0.35">
      <c r="D2359" s="3" t="s">
        <v>606</v>
      </c>
      <c r="E2359" s="3"/>
      <c r="F2359" s="3"/>
      <c r="G2359" s="3"/>
      <c r="H2359" s="3"/>
      <c r="I2359" s="3"/>
      <c r="J2359" s="3"/>
    </row>
    <row r="2360" spans="4:10" s="22" customFormat="1" x14ac:dyDescent="0.35">
      <c r="D2360" s="3"/>
      <c r="E2360" s="3"/>
      <c r="F2360" s="3"/>
      <c r="G2360" s="3"/>
      <c r="H2360" s="3"/>
      <c r="I2360" s="3"/>
      <c r="J2360" s="3"/>
    </row>
    <row r="2361" spans="4:10" s="22" customFormat="1" x14ac:dyDescent="0.35">
      <c r="D2361" s="3" t="s">
        <v>607</v>
      </c>
      <c r="E2361" s="3"/>
      <c r="F2361" s="3"/>
      <c r="G2361" s="3"/>
      <c r="H2361" s="3"/>
      <c r="I2361" s="3"/>
      <c r="J2361" s="3"/>
    </row>
    <row r="2362" spans="4:10" s="22" customFormat="1" x14ac:dyDescent="0.35">
      <c r="D2362" s="3"/>
      <c r="E2362" s="3"/>
      <c r="F2362" s="3"/>
      <c r="G2362" s="3"/>
      <c r="H2362" s="3"/>
      <c r="I2362" s="3"/>
      <c r="J2362" s="3"/>
    </row>
    <row r="2363" spans="4:10" s="22" customFormat="1" x14ac:dyDescent="0.35">
      <c r="D2363" s="3" t="s">
        <v>466</v>
      </c>
      <c r="E2363" s="3"/>
      <c r="F2363" s="3"/>
      <c r="G2363" s="3"/>
      <c r="H2363" s="3"/>
      <c r="I2363" s="3"/>
      <c r="J2363" s="3"/>
    </row>
    <row r="2364" spans="4:10" s="22" customFormat="1" x14ac:dyDescent="0.35">
      <c r="D2364" s="3"/>
      <c r="E2364" s="3"/>
      <c r="F2364" s="3"/>
      <c r="G2364" s="3"/>
      <c r="H2364" s="3"/>
      <c r="I2364" s="3"/>
      <c r="J2364" s="3"/>
    </row>
    <row r="2365" spans="4:10" s="22" customFormat="1" x14ac:dyDescent="0.35">
      <c r="D2365" s="3"/>
      <c r="E2365" s="3"/>
      <c r="F2365" s="3"/>
      <c r="G2365" s="3"/>
      <c r="H2365" s="3"/>
      <c r="I2365" s="3"/>
      <c r="J2365" s="3"/>
    </row>
    <row r="2366" spans="4:10" s="22" customFormat="1" x14ac:dyDescent="0.35">
      <c r="D2366" s="3"/>
      <c r="E2366" s="3"/>
      <c r="F2366" s="3"/>
      <c r="G2366" s="3"/>
      <c r="H2366" s="3"/>
      <c r="I2366" s="3"/>
      <c r="J2366" s="3"/>
    </row>
    <row r="2367" spans="4:10" s="22" customFormat="1" x14ac:dyDescent="0.35">
      <c r="D2367" s="3"/>
      <c r="E2367" s="3"/>
      <c r="F2367" s="3"/>
      <c r="G2367" s="3"/>
      <c r="H2367" s="3"/>
      <c r="I2367" s="3"/>
      <c r="J2367" s="3"/>
    </row>
    <row r="2368" spans="4:10" s="22" customFormat="1" x14ac:dyDescent="0.35">
      <c r="D2368" s="3"/>
      <c r="E2368" s="3"/>
      <c r="F2368" s="3"/>
      <c r="G2368" s="3"/>
      <c r="H2368" s="3"/>
      <c r="I2368" s="3"/>
      <c r="J2368" s="3"/>
    </row>
    <row r="2369" spans="4:10" s="22" customFormat="1" x14ac:dyDescent="0.35">
      <c r="D2369" s="3"/>
      <c r="E2369" s="3"/>
      <c r="F2369" s="3"/>
      <c r="G2369" s="3"/>
      <c r="H2369" s="3"/>
      <c r="I2369" s="3"/>
      <c r="J2369" s="3"/>
    </row>
    <row r="2370" spans="4:10" s="22" customFormat="1" x14ac:dyDescent="0.35">
      <c r="D2370" s="3"/>
      <c r="E2370" s="3"/>
      <c r="F2370" s="3"/>
      <c r="G2370" s="3"/>
      <c r="H2370" s="3"/>
      <c r="I2370" s="3"/>
      <c r="J2370" s="3"/>
    </row>
    <row r="2371" spans="4:10" s="22" customFormat="1" x14ac:dyDescent="0.35">
      <c r="D2371" s="3"/>
      <c r="E2371" s="3"/>
      <c r="F2371" s="3"/>
      <c r="G2371" s="3"/>
      <c r="H2371" s="3"/>
      <c r="I2371" s="3"/>
      <c r="J2371" s="3"/>
    </row>
    <row r="2372" spans="4:10" s="22" customFormat="1" x14ac:dyDescent="0.35">
      <c r="D2372" s="3"/>
      <c r="E2372" s="3"/>
      <c r="F2372" s="3"/>
      <c r="G2372" s="3"/>
      <c r="H2372" s="3"/>
      <c r="I2372" s="3"/>
      <c r="J2372" s="3"/>
    </row>
    <row r="2373" spans="4:10" s="22" customFormat="1" x14ac:dyDescent="0.35">
      <c r="D2373" s="3"/>
      <c r="E2373" s="3"/>
      <c r="F2373" s="3"/>
      <c r="G2373" s="3"/>
      <c r="H2373" s="3"/>
      <c r="I2373" s="3"/>
      <c r="J2373" s="3"/>
    </row>
    <row r="2374" spans="4:10" s="22" customFormat="1" x14ac:dyDescent="0.35">
      <c r="D2374" s="3"/>
      <c r="E2374" s="3"/>
      <c r="F2374" s="3"/>
      <c r="G2374" s="3"/>
      <c r="H2374" s="3"/>
      <c r="I2374" s="3"/>
      <c r="J2374" s="3"/>
    </row>
    <row r="2375" spans="4:10" s="22" customFormat="1" x14ac:dyDescent="0.35">
      <c r="D2375" s="3"/>
      <c r="E2375" s="3"/>
      <c r="F2375" s="3"/>
      <c r="G2375" s="3"/>
      <c r="H2375" s="3"/>
      <c r="I2375" s="3"/>
      <c r="J2375" s="3"/>
    </row>
    <row r="2376" spans="4:10" s="22" customFormat="1" x14ac:dyDescent="0.35">
      <c r="D2376" s="3"/>
      <c r="E2376" s="3"/>
      <c r="F2376" s="3"/>
      <c r="G2376" s="3"/>
      <c r="H2376" s="3"/>
      <c r="I2376" s="3"/>
      <c r="J2376" s="3"/>
    </row>
    <row r="2377" spans="4:10" s="22" customFormat="1" x14ac:dyDescent="0.35">
      <c r="D2377" s="3"/>
      <c r="E2377" s="3"/>
      <c r="F2377" s="3"/>
      <c r="G2377" s="3"/>
      <c r="H2377" s="3"/>
      <c r="I2377" s="3"/>
      <c r="J2377" s="3"/>
    </row>
    <row r="2378" spans="4:10" s="22" customFormat="1" x14ac:dyDescent="0.35">
      <c r="D2378" s="3"/>
      <c r="E2378" s="3"/>
      <c r="F2378" s="3"/>
      <c r="G2378" s="3"/>
      <c r="H2378" s="3"/>
      <c r="I2378" s="3"/>
      <c r="J2378" s="3"/>
    </row>
    <row r="2379" spans="4:10" s="22" customFormat="1" x14ac:dyDescent="0.35">
      <c r="D2379" s="3"/>
      <c r="E2379" s="3"/>
      <c r="F2379" s="3"/>
      <c r="G2379" s="3"/>
      <c r="H2379" s="3"/>
      <c r="I2379" s="3"/>
      <c r="J2379" s="3"/>
    </row>
    <row r="2380" spans="4:10" s="22" customFormat="1" x14ac:dyDescent="0.35">
      <c r="D2380" s="3"/>
      <c r="E2380" s="3"/>
      <c r="F2380" s="3"/>
      <c r="G2380" s="3"/>
      <c r="H2380" s="3"/>
      <c r="I2380" s="3"/>
      <c r="J2380" s="3"/>
    </row>
    <row r="2381" spans="4:10" s="22" customFormat="1" x14ac:dyDescent="0.35">
      <c r="D2381" s="3"/>
      <c r="E2381" s="3"/>
      <c r="F2381" s="3"/>
      <c r="G2381" s="3"/>
      <c r="H2381" s="3"/>
      <c r="I2381" s="3"/>
      <c r="J2381" s="3"/>
    </row>
    <row r="2382" spans="4:10" s="22" customFormat="1" x14ac:dyDescent="0.35">
      <c r="D2382" s="3"/>
      <c r="E2382" s="3"/>
      <c r="F2382" s="3"/>
      <c r="G2382" s="3"/>
      <c r="H2382" s="3"/>
      <c r="I2382" s="3"/>
      <c r="J2382" s="3"/>
    </row>
    <row r="2383" spans="4:10" s="22" customFormat="1" x14ac:dyDescent="0.35">
      <c r="D2383" s="3"/>
      <c r="E2383" s="3"/>
      <c r="F2383" s="3"/>
      <c r="G2383" s="3"/>
      <c r="H2383" s="3"/>
      <c r="I2383" s="3"/>
      <c r="J2383" s="3"/>
    </row>
    <row r="2384" spans="4:10" s="22" customFormat="1" x14ac:dyDescent="0.35">
      <c r="D2384" s="3"/>
      <c r="E2384" s="3"/>
      <c r="F2384" s="3"/>
      <c r="G2384" s="3"/>
      <c r="H2384" s="3"/>
      <c r="I2384" s="3"/>
      <c r="J2384" s="3"/>
    </row>
    <row r="2385" spans="4:10" s="22" customFormat="1" x14ac:dyDescent="0.35">
      <c r="D2385" s="3"/>
      <c r="E2385" s="3"/>
      <c r="F2385" s="3"/>
      <c r="G2385" s="3"/>
      <c r="H2385" s="3"/>
      <c r="I2385" s="3"/>
      <c r="J2385" s="3"/>
    </row>
    <row r="2386" spans="4:10" s="22" customFormat="1" x14ac:dyDescent="0.35">
      <c r="D2386" s="3"/>
      <c r="E2386" s="3"/>
      <c r="F2386" s="3"/>
      <c r="G2386" s="3"/>
      <c r="H2386" s="3"/>
      <c r="I2386" s="3"/>
      <c r="J2386" s="3"/>
    </row>
    <row r="2387" spans="4:10" s="22" customFormat="1" x14ac:dyDescent="0.35">
      <c r="D2387" s="3"/>
      <c r="E2387" s="3"/>
      <c r="F2387" s="3"/>
      <c r="G2387" s="3"/>
      <c r="H2387" s="3"/>
      <c r="I2387" s="3"/>
      <c r="J2387" s="3"/>
    </row>
    <row r="2388" spans="4:10" s="22" customFormat="1" x14ac:dyDescent="0.35">
      <c r="D2388" s="3"/>
      <c r="E2388" s="3"/>
      <c r="F2388" s="3"/>
      <c r="G2388" s="3"/>
      <c r="H2388" s="3"/>
      <c r="I2388" s="3"/>
      <c r="J2388" s="3"/>
    </row>
    <row r="2389" spans="4:10" s="22" customFormat="1" x14ac:dyDescent="0.35">
      <c r="D2389" s="3"/>
      <c r="E2389" s="3"/>
      <c r="F2389" s="3"/>
      <c r="G2389" s="3"/>
      <c r="H2389" s="3"/>
      <c r="I2389" s="3"/>
      <c r="J2389" s="3"/>
    </row>
    <row r="2390" spans="4:10" s="22" customFormat="1" x14ac:dyDescent="0.35">
      <c r="D2390" s="3"/>
      <c r="E2390" s="3"/>
      <c r="F2390" s="3"/>
      <c r="G2390" s="3"/>
      <c r="H2390" s="3"/>
      <c r="I2390" s="3"/>
      <c r="J2390" s="3"/>
    </row>
    <row r="2391" spans="4:10" s="22" customFormat="1" x14ac:dyDescent="0.35">
      <c r="D2391" s="3"/>
      <c r="E2391" s="3"/>
      <c r="F2391" s="3"/>
      <c r="G2391" s="3"/>
      <c r="H2391" s="3"/>
      <c r="I2391" s="3"/>
      <c r="J2391" s="3"/>
    </row>
    <row r="2392" spans="4:10" s="22" customFormat="1" x14ac:dyDescent="0.35">
      <c r="D2392" s="3"/>
      <c r="E2392" s="3"/>
      <c r="F2392" s="3"/>
      <c r="G2392" s="3"/>
      <c r="H2392" s="3"/>
      <c r="I2392" s="3"/>
      <c r="J2392" s="3"/>
    </row>
    <row r="2393" spans="4:10" s="22" customFormat="1" x14ac:dyDescent="0.35">
      <c r="D2393" s="3"/>
      <c r="E2393" s="3"/>
      <c r="F2393" s="3"/>
      <c r="G2393" s="3"/>
      <c r="H2393" s="3"/>
      <c r="I2393" s="3"/>
      <c r="J2393" s="3"/>
    </row>
    <row r="2394" spans="4:10" s="22" customFormat="1" x14ac:dyDescent="0.35">
      <c r="D2394" s="3"/>
      <c r="E2394" s="3"/>
      <c r="F2394" s="3"/>
      <c r="G2394" s="3"/>
      <c r="H2394" s="3"/>
      <c r="I2394" s="3"/>
      <c r="J2394" s="3"/>
    </row>
    <row r="2395" spans="4:10" s="22" customFormat="1" x14ac:dyDescent="0.35">
      <c r="D2395" s="3"/>
      <c r="E2395" s="3"/>
      <c r="F2395" s="3"/>
      <c r="G2395" s="3"/>
      <c r="H2395" s="3"/>
      <c r="I2395" s="3"/>
      <c r="J2395" s="3"/>
    </row>
    <row r="2396" spans="4:10" s="22" customFormat="1" x14ac:dyDescent="0.35">
      <c r="D2396" s="3"/>
      <c r="E2396" s="3"/>
      <c r="F2396" s="3"/>
      <c r="G2396" s="3"/>
      <c r="H2396" s="3"/>
      <c r="I2396" s="3"/>
      <c r="J2396" s="3"/>
    </row>
    <row r="2397" spans="4:10" s="22" customFormat="1" x14ac:dyDescent="0.35">
      <c r="D2397" s="3"/>
      <c r="E2397" s="3"/>
      <c r="F2397" s="3"/>
      <c r="G2397" s="3"/>
      <c r="H2397" s="3"/>
      <c r="I2397" s="3"/>
      <c r="J2397" s="3"/>
    </row>
    <row r="2398" spans="4:10" s="22" customFormat="1" x14ac:dyDescent="0.35">
      <c r="D2398" s="3"/>
      <c r="E2398" s="3"/>
      <c r="F2398" s="3"/>
      <c r="G2398" s="3"/>
      <c r="H2398" s="3"/>
      <c r="I2398" s="3"/>
      <c r="J2398" s="3"/>
    </row>
    <row r="2399" spans="4:10" s="22" customFormat="1" x14ac:dyDescent="0.35">
      <c r="D2399" s="3"/>
      <c r="E2399" s="3"/>
      <c r="F2399" s="3"/>
      <c r="G2399" s="3"/>
      <c r="H2399" s="3"/>
      <c r="I2399" s="3"/>
      <c r="J2399" s="3"/>
    </row>
    <row r="2400" spans="4:10" s="22" customFormat="1" x14ac:dyDescent="0.35">
      <c r="D2400" s="3"/>
      <c r="E2400" s="3"/>
      <c r="F2400" s="3"/>
      <c r="G2400" s="3"/>
      <c r="H2400" s="3"/>
      <c r="I2400" s="3"/>
      <c r="J2400" s="3"/>
    </row>
    <row r="2401" spans="4:10" s="22" customFormat="1" x14ac:dyDescent="0.35">
      <c r="D2401" s="3"/>
      <c r="E2401" s="3"/>
      <c r="F2401" s="3"/>
      <c r="G2401" s="3"/>
      <c r="H2401" s="3"/>
      <c r="I2401" s="3"/>
      <c r="J2401" s="3"/>
    </row>
    <row r="2402" spans="4:10" s="22" customFormat="1" x14ac:dyDescent="0.35">
      <c r="D2402" s="3"/>
      <c r="E2402" s="3"/>
      <c r="F2402" s="3"/>
      <c r="G2402" s="3"/>
      <c r="H2402" s="3"/>
      <c r="I2402" s="3"/>
      <c r="J2402" s="3"/>
    </row>
    <row r="2403" spans="4:10" s="22" customFormat="1" x14ac:dyDescent="0.35">
      <c r="D2403" s="3"/>
      <c r="E2403" s="3"/>
      <c r="F2403" s="3"/>
      <c r="G2403" s="3"/>
      <c r="H2403" s="3"/>
      <c r="I2403" s="3"/>
      <c r="J2403" s="3"/>
    </row>
    <row r="2404" spans="4:10" s="22" customFormat="1" x14ac:dyDescent="0.35">
      <c r="D2404" s="3"/>
      <c r="E2404" s="3"/>
      <c r="F2404" s="3"/>
      <c r="G2404" s="3"/>
      <c r="H2404" s="3"/>
      <c r="I2404" s="3"/>
      <c r="J2404" s="3"/>
    </row>
    <row r="2405" spans="4:10" s="22" customFormat="1" x14ac:dyDescent="0.35">
      <c r="D2405" s="3"/>
      <c r="E2405" s="3"/>
      <c r="F2405" s="3"/>
      <c r="G2405" s="3"/>
      <c r="H2405" s="3"/>
      <c r="I2405" s="3"/>
      <c r="J2405" s="3"/>
    </row>
    <row r="2406" spans="4:10" s="22" customFormat="1" x14ac:dyDescent="0.35">
      <c r="D2406" s="3"/>
      <c r="E2406" s="3"/>
      <c r="F2406" s="3"/>
      <c r="G2406" s="3"/>
      <c r="H2406" s="3"/>
      <c r="I2406" s="3"/>
      <c r="J2406" s="3"/>
    </row>
    <row r="2407" spans="4:10" s="22" customFormat="1" x14ac:dyDescent="0.35">
      <c r="D2407" s="3"/>
      <c r="E2407" s="3"/>
      <c r="F2407" s="3"/>
      <c r="G2407" s="3"/>
      <c r="H2407" s="3"/>
      <c r="I2407" s="3"/>
      <c r="J2407" s="3"/>
    </row>
    <row r="2408" spans="4:10" s="22" customFormat="1" x14ac:dyDescent="0.35">
      <c r="D2408" s="3"/>
      <c r="E2408" s="3"/>
      <c r="F2408" s="3"/>
      <c r="G2408" s="3"/>
      <c r="H2408" s="3"/>
      <c r="I2408" s="3"/>
      <c r="J2408" s="3"/>
    </row>
    <row r="2409" spans="4:10" s="22" customFormat="1" x14ac:dyDescent="0.35">
      <c r="D2409" s="3"/>
      <c r="E2409" s="3"/>
      <c r="F2409" s="3"/>
      <c r="G2409" s="3"/>
      <c r="H2409" s="3"/>
      <c r="I2409" s="3"/>
      <c r="J2409" s="3"/>
    </row>
    <row r="2410" spans="4:10" s="22" customFormat="1" x14ac:dyDescent="0.35">
      <c r="D2410" s="3"/>
      <c r="E2410" s="3"/>
      <c r="F2410" s="3"/>
      <c r="G2410" s="3"/>
      <c r="H2410" s="3"/>
      <c r="I2410" s="3"/>
      <c r="J2410" s="3"/>
    </row>
    <row r="2411" spans="4:10" s="22" customFormat="1" x14ac:dyDescent="0.35">
      <c r="D2411" s="3"/>
      <c r="E2411" s="3"/>
      <c r="F2411" s="3"/>
      <c r="G2411" s="3"/>
      <c r="H2411" s="3"/>
      <c r="I2411" s="3"/>
      <c r="J2411" s="3"/>
    </row>
    <row r="2412" spans="4:10" s="22" customFormat="1" x14ac:dyDescent="0.35">
      <c r="D2412" s="3"/>
      <c r="E2412" s="3"/>
      <c r="F2412" s="3"/>
      <c r="G2412" s="3"/>
      <c r="H2412" s="3"/>
      <c r="I2412" s="3"/>
      <c r="J2412" s="3"/>
    </row>
    <row r="2413" spans="4:10" s="22" customFormat="1" x14ac:dyDescent="0.35">
      <c r="D2413" s="3"/>
      <c r="E2413" s="3"/>
      <c r="F2413" s="3"/>
      <c r="G2413" s="3"/>
      <c r="H2413" s="3"/>
      <c r="I2413" s="3"/>
      <c r="J2413" s="3"/>
    </row>
    <row r="2414" spans="4:10" s="22" customFormat="1" x14ac:dyDescent="0.35">
      <c r="D2414" s="3"/>
      <c r="E2414" s="3"/>
      <c r="F2414" s="3"/>
      <c r="G2414" s="3"/>
      <c r="H2414" s="3"/>
      <c r="I2414" s="3"/>
      <c r="J2414" s="3"/>
    </row>
    <row r="2415" spans="4:10" s="22" customFormat="1" x14ac:dyDescent="0.35">
      <c r="D2415" s="3"/>
      <c r="E2415" s="3"/>
      <c r="F2415" s="3"/>
      <c r="G2415" s="3"/>
      <c r="H2415" s="3"/>
      <c r="I2415" s="3"/>
      <c r="J2415" s="3"/>
    </row>
    <row r="2416" spans="4:10" s="22" customFormat="1" x14ac:dyDescent="0.35">
      <c r="D2416" s="3"/>
      <c r="E2416" s="3"/>
      <c r="F2416" s="3"/>
      <c r="G2416" s="3"/>
      <c r="H2416" s="3"/>
      <c r="I2416" s="3"/>
      <c r="J2416" s="3"/>
    </row>
    <row r="2417" spans="4:10" s="22" customFormat="1" x14ac:dyDescent="0.35">
      <c r="D2417" s="3"/>
      <c r="E2417" s="3"/>
      <c r="F2417" s="3"/>
      <c r="G2417" s="3"/>
      <c r="H2417" s="3"/>
      <c r="I2417" s="3"/>
      <c r="J2417" s="3"/>
    </row>
    <row r="2418" spans="4:10" s="22" customFormat="1" x14ac:dyDescent="0.35">
      <c r="D2418" s="3"/>
      <c r="E2418" s="3"/>
      <c r="F2418" s="3"/>
      <c r="G2418" s="3"/>
      <c r="H2418" s="3"/>
      <c r="I2418" s="3"/>
      <c r="J2418" s="3"/>
    </row>
    <row r="2419" spans="4:10" s="22" customFormat="1" x14ac:dyDescent="0.35">
      <c r="D2419" s="3"/>
      <c r="E2419" s="3"/>
      <c r="F2419" s="3"/>
      <c r="G2419" s="3"/>
      <c r="H2419" s="3"/>
      <c r="I2419" s="3"/>
      <c r="J2419" s="3"/>
    </row>
    <row r="2420" spans="4:10" s="22" customFormat="1" x14ac:dyDescent="0.35">
      <c r="D2420" s="3"/>
      <c r="E2420" s="3"/>
      <c r="F2420" s="3"/>
      <c r="G2420" s="3"/>
      <c r="H2420" s="3"/>
      <c r="I2420" s="3"/>
      <c r="J2420" s="3"/>
    </row>
    <row r="2421" spans="4:10" s="22" customFormat="1" x14ac:dyDescent="0.35">
      <c r="D2421" s="3"/>
      <c r="E2421" s="3"/>
      <c r="F2421" s="3"/>
      <c r="G2421" s="3"/>
      <c r="H2421" s="3"/>
      <c r="I2421" s="3"/>
      <c r="J2421" s="3"/>
    </row>
    <row r="2422" spans="4:10" s="22" customFormat="1" x14ac:dyDescent="0.35">
      <c r="D2422" s="3"/>
      <c r="E2422" s="3"/>
      <c r="F2422" s="3"/>
      <c r="G2422" s="3"/>
      <c r="H2422" s="3"/>
      <c r="I2422" s="3"/>
      <c r="J2422" s="3"/>
    </row>
    <row r="2423" spans="4:10" s="22" customFormat="1" x14ac:dyDescent="0.35">
      <c r="D2423" s="3" t="s">
        <v>467</v>
      </c>
      <c r="E2423" s="3"/>
      <c r="F2423" s="3"/>
      <c r="G2423" s="3"/>
      <c r="H2423" s="3"/>
      <c r="I2423" s="3"/>
      <c r="J2423" s="3"/>
    </row>
    <row r="2424" spans="4:10" s="22" customFormat="1" x14ac:dyDescent="0.35">
      <c r="D2424" s="3"/>
      <c r="E2424" s="3"/>
      <c r="F2424" s="3"/>
      <c r="G2424" s="3"/>
      <c r="H2424" s="3"/>
      <c r="I2424" s="3"/>
      <c r="J2424" s="3"/>
    </row>
    <row r="2425" spans="4:10" s="22" customFormat="1" x14ac:dyDescent="0.35">
      <c r="D2425" s="3"/>
      <c r="E2425" s="3"/>
      <c r="F2425" s="3"/>
      <c r="G2425" s="3"/>
      <c r="H2425" s="3"/>
      <c r="I2425" s="3"/>
      <c r="J2425" s="3"/>
    </row>
    <row r="2426" spans="4:10" s="22" customFormat="1" x14ac:dyDescent="0.35">
      <c r="D2426" s="3"/>
      <c r="E2426" s="3"/>
      <c r="F2426" s="3"/>
      <c r="G2426" s="3"/>
      <c r="H2426" s="3"/>
      <c r="I2426" s="3"/>
      <c r="J2426" s="3"/>
    </row>
    <row r="2427" spans="4:10" s="22" customFormat="1" x14ac:dyDescent="0.35">
      <c r="D2427" s="3"/>
      <c r="E2427" s="3"/>
      <c r="F2427" s="3"/>
      <c r="G2427" s="3"/>
      <c r="H2427" s="3"/>
      <c r="I2427" s="3"/>
      <c r="J2427" s="3"/>
    </row>
    <row r="2428" spans="4:10" s="22" customFormat="1" x14ac:dyDescent="0.35">
      <c r="D2428" s="3"/>
      <c r="E2428" s="3"/>
      <c r="F2428" s="3"/>
      <c r="G2428" s="3"/>
      <c r="H2428" s="3"/>
      <c r="I2428" s="3"/>
      <c r="J2428" s="3"/>
    </row>
    <row r="2429" spans="4:10" s="22" customFormat="1" x14ac:dyDescent="0.35">
      <c r="D2429" s="3"/>
      <c r="E2429" s="3"/>
      <c r="F2429" s="3"/>
      <c r="G2429" s="3"/>
      <c r="H2429" s="3"/>
      <c r="I2429" s="3"/>
      <c r="J2429" s="3"/>
    </row>
    <row r="2430" spans="4:10" s="22" customFormat="1" x14ac:dyDescent="0.35">
      <c r="D2430" s="3"/>
      <c r="E2430" s="3"/>
      <c r="F2430" s="3"/>
      <c r="G2430" s="3"/>
      <c r="H2430" s="3"/>
      <c r="I2430" s="3"/>
      <c r="J2430" s="3"/>
    </row>
    <row r="2431" spans="4:10" s="22" customFormat="1" x14ac:dyDescent="0.35">
      <c r="D2431" s="3"/>
      <c r="E2431" s="3"/>
      <c r="F2431" s="3"/>
      <c r="G2431" s="3"/>
      <c r="H2431" s="3"/>
      <c r="I2431" s="3"/>
      <c r="J2431" s="3"/>
    </row>
    <row r="2432" spans="4:10" s="22" customFormat="1" x14ac:dyDescent="0.35">
      <c r="D2432" s="3"/>
      <c r="E2432" s="3"/>
      <c r="F2432" s="3"/>
      <c r="G2432" s="3"/>
      <c r="H2432" s="3"/>
      <c r="I2432" s="3"/>
      <c r="J2432" s="3"/>
    </row>
    <row r="2433" spans="4:10" s="22" customFormat="1" x14ac:dyDescent="0.35">
      <c r="D2433" s="3"/>
      <c r="E2433" s="3"/>
      <c r="F2433" s="3"/>
      <c r="G2433" s="3"/>
      <c r="H2433" s="3"/>
      <c r="I2433" s="3"/>
      <c r="J2433" s="3"/>
    </row>
    <row r="2434" spans="4:10" s="22" customFormat="1" x14ac:dyDescent="0.35">
      <c r="D2434" s="3"/>
      <c r="E2434" s="3"/>
      <c r="F2434" s="3"/>
      <c r="G2434" s="3"/>
      <c r="H2434" s="3"/>
      <c r="I2434" s="3"/>
      <c r="J2434" s="3"/>
    </row>
    <row r="2435" spans="4:10" s="22" customFormat="1" x14ac:dyDescent="0.35">
      <c r="D2435" s="3"/>
      <c r="E2435" s="3"/>
      <c r="F2435" s="3"/>
      <c r="G2435" s="3"/>
      <c r="H2435" s="3"/>
      <c r="I2435" s="3"/>
      <c r="J2435" s="3"/>
    </row>
    <row r="2436" spans="4:10" s="22" customFormat="1" x14ac:dyDescent="0.35">
      <c r="D2436" s="3"/>
      <c r="E2436" s="3"/>
      <c r="F2436" s="3"/>
      <c r="G2436" s="3"/>
      <c r="H2436" s="3"/>
      <c r="I2436" s="3"/>
      <c r="J2436" s="3"/>
    </row>
    <row r="2437" spans="4:10" s="22" customFormat="1" x14ac:dyDescent="0.35">
      <c r="D2437" s="3"/>
      <c r="E2437" s="3"/>
      <c r="F2437" s="3"/>
      <c r="G2437" s="3"/>
      <c r="H2437" s="3"/>
      <c r="I2437" s="3"/>
      <c r="J2437" s="3"/>
    </row>
    <row r="2438" spans="4:10" s="22" customFormat="1" x14ac:dyDescent="0.35">
      <c r="D2438" s="3"/>
      <c r="E2438" s="3"/>
      <c r="F2438" s="3"/>
      <c r="G2438" s="3"/>
      <c r="H2438" s="3"/>
      <c r="I2438" s="3"/>
      <c r="J2438" s="3"/>
    </row>
    <row r="2439" spans="4:10" s="22" customFormat="1" x14ac:dyDescent="0.35">
      <c r="D2439" s="3"/>
      <c r="E2439" s="3"/>
      <c r="F2439" s="3"/>
      <c r="G2439" s="3"/>
      <c r="H2439" s="3"/>
      <c r="I2439" s="3"/>
      <c r="J2439" s="3"/>
    </row>
    <row r="2440" spans="4:10" s="22" customFormat="1" x14ac:dyDescent="0.35">
      <c r="D2440" s="3"/>
      <c r="E2440" s="3"/>
      <c r="F2440" s="3"/>
      <c r="G2440" s="3"/>
      <c r="H2440" s="3"/>
      <c r="I2440" s="3"/>
      <c r="J2440" s="3"/>
    </row>
    <row r="2441" spans="4:10" s="22" customFormat="1" x14ac:dyDescent="0.35">
      <c r="D2441" s="3"/>
      <c r="E2441" s="3"/>
      <c r="F2441" s="3"/>
      <c r="G2441" s="3"/>
      <c r="H2441" s="3"/>
      <c r="I2441" s="3"/>
      <c r="J2441" s="3"/>
    </row>
    <row r="2442" spans="4:10" s="22" customFormat="1" x14ac:dyDescent="0.35">
      <c r="D2442" s="3"/>
      <c r="E2442" s="3"/>
      <c r="F2442" s="3"/>
      <c r="G2442" s="3"/>
      <c r="H2442" s="3"/>
      <c r="I2442" s="3"/>
      <c r="J2442" s="3"/>
    </row>
    <row r="2443" spans="4:10" s="22" customFormat="1" x14ac:dyDescent="0.35">
      <c r="D2443" s="3"/>
      <c r="E2443" s="3"/>
      <c r="F2443" s="3"/>
      <c r="G2443" s="3"/>
      <c r="H2443" s="3"/>
      <c r="I2443" s="3"/>
      <c r="J2443" s="3"/>
    </row>
    <row r="2444" spans="4:10" s="22" customFormat="1" x14ac:dyDescent="0.35">
      <c r="D2444" s="3"/>
      <c r="E2444" s="3"/>
      <c r="F2444" s="3"/>
      <c r="G2444" s="3"/>
      <c r="H2444" s="3"/>
      <c r="I2444" s="3"/>
      <c r="J2444" s="3"/>
    </row>
    <row r="2445" spans="4:10" s="22" customFormat="1" x14ac:dyDescent="0.35">
      <c r="D2445" s="3"/>
      <c r="E2445" s="3"/>
      <c r="F2445" s="3"/>
      <c r="G2445" s="3"/>
      <c r="H2445" s="3"/>
      <c r="I2445" s="3"/>
      <c r="J2445" s="3"/>
    </row>
    <row r="2446" spans="4:10" s="22" customFormat="1" x14ac:dyDescent="0.35">
      <c r="D2446" s="3"/>
      <c r="E2446" s="3"/>
      <c r="F2446" s="3"/>
      <c r="G2446" s="3"/>
      <c r="H2446" s="3"/>
      <c r="I2446" s="3"/>
      <c r="J2446" s="3"/>
    </row>
    <row r="2447" spans="4:10" s="22" customFormat="1" x14ac:dyDescent="0.35">
      <c r="D2447" s="3"/>
      <c r="E2447" s="3"/>
      <c r="F2447" s="3"/>
      <c r="G2447" s="3"/>
      <c r="H2447" s="3"/>
      <c r="I2447" s="3"/>
      <c r="J2447" s="3"/>
    </row>
    <row r="2448" spans="4:10" s="22" customFormat="1" x14ac:dyDescent="0.35">
      <c r="D2448" s="3"/>
      <c r="E2448" s="3"/>
      <c r="F2448" s="3"/>
      <c r="G2448" s="3"/>
      <c r="H2448" s="3"/>
      <c r="I2448" s="3"/>
      <c r="J2448" s="3"/>
    </row>
    <row r="2449" spans="4:10" s="22" customFormat="1" x14ac:dyDescent="0.35">
      <c r="D2449" s="3"/>
      <c r="E2449" s="3"/>
      <c r="F2449" s="3"/>
      <c r="G2449" s="3"/>
      <c r="H2449" s="3"/>
      <c r="I2449" s="3"/>
      <c r="J2449" s="3"/>
    </row>
    <row r="2450" spans="4:10" s="22" customFormat="1" x14ac:dyDescent="0.35">
      <c r="D2450" s="3"/>
      <c r="E2450" s="3"/>
      <c r="F2450" s="3"/>
      <c r="G2450" s="3"/>
      <c r="H2450" s="3"/>
      <c r="I2450" s="3"/>
      <c r="J2450" s="3"/>
    </row>
    <row r="2451" spans="4:10" s="22" customFormat="1" x14ac:dyDescent="0.35">
      <c r="D2451" s="3"/>
      <c r="E2451" s="3"/>
      <c r="F2451" s="3"/>
      <c r="G2451" s="3"/>
      <c r="H2451" s="3"/>
      <c r="I2451" s="3"/>
      <c r="J2451" s="3"/>
    </row>
    <row r="2452" spans="4:10" s="22" customFormat="1" x14ac:dyDescent="0.35">
      <c r="D2452" s="3"/>
      <c r="E2452" s="3"/>
      <c r="F2452" s="3"/>
      <c r="G2452" s="3"/>
      <c r="H2452" s="3"/>
      <c r="I2452" s="3"/>
      <c r="J2452" s="3"/>
    </row>
    <row r="2453" spans="4:10" s="22" customFormat="1" x14ac:dyDescent="0.35">
      <c r="D2453" s="3"/>
      <c r="E2453" s="3"/>
      <c r="F2453" s="3"/>
      <c r="G2453" s="3"/>
      <c r="H2453" s="3"/>
      <c r="I2453" s="3"/>
      <c r="J2453" s="3"/>
    </row>
    <row r="2454" spans="4:10" s="22" customFormat="1" x14ac:dyDescent="0.35">
      <c r="D2454" s="3"/>
      <c r="E2454" s="3"/>
      <c r="F2454" s="3"/>
      <c r="G2454" s="3"/>
      <c r="H2454" s="3"/>
      <c r="I2454" s="3"/>
      <c r="J2454" s="3"/>
    </row>
    <row r="2455" spans="4:10" s="22" customFormat="1" x14ac:dyDescent="0.35">
      <c r="D2455" s="3"/>
      <c r="E2455" s="3"/>
      <c r="F2455" s="3"/>
      <c r="G2455" s="3"/>
      <c r="H2455" s="3"/>
      <c r="I2455" s="3"/>
      <c r="J2455" s="3"/>
    </row>
    <row r="2456" spans="4:10" s="22" customFormat="1" x14ac:dyDescent="0.35">
      <c r="D2456" s="3"/>
      <c r="E2456" s="3"/>
      <c r="F2456" s="3"/>
      <c r="G2456" s="3"/>
      <c r="H2456" s="3"/>
      <c r="I2456" s="3"/>
      <c r="J2456" s="3"/>
    </row>
    <row r="2457" spans="4:10" s="22" customFormat="1" x14ac:dyDescent="0.35">
      <c r="D2457" s="3"/>
      <c r="E2457" s="3"/>
      <c r="F2457" s="3"/>
      <c r="G2457" s="3"/>
      <c r="H2457" s="3"/>
      <c r="I2457" s="3"/>
      <c r="J2457" s="3"/>
    </row>
    <row r="2458" spans="4:10" s="22" customFormat="1" x14ac:dyDescent="0.35">
      <c r="D2458" s="3"/>
      <c r="E2458" s="3"/>
      <c r="F2458" s="3"/>
      <c r="G2458" s="3"/>
      <c r="H2458" s="3"/>
      <c r="I2458" s="3"/>
      <c r="J2458" s="3"/>
    </row>
    <row r="2459" spans="4:10" s="22" customFormat="1" x14ac:dyDescent="0.35">
      <c r="D2459" s="3"/>
      <c r="E2459" s="3"/>
      <c r="F2459" s="3"/>
      <c r="G2459" s="3"/>
      <c r="H2459" s="3"/>
      <c r="I2459" s="3"/>
      <c r="J2459" s="3"/>
    </row>
    <row r="2460" spans="4:10" s="22" customFormat="1" x14ac:dyDescent="0.35">
      <c r="D2460" s="3"/>
      <c r="E2460" s="3"/>
      <c r="F2460" s="3"/>
      <c r="G2460" s="3"/>
      <c r="H2460" s="3"/>
      <c r="I2460" s="3"/>
      <c r="J2460" s="3"/>
    </row>
    <row r="2461" spans="4:10" s="22" customFormat="1" x14ac:dyDescent="0.35">
      <c r="D2461" s="3"/>
      <c r="E2461" s="3"/>
      <c r="F2461" s="3"/>
      <c r="G2461" s="3"/>
      <c r="H2461" s="3"/>
      <c r="I2461" s="3"/>
      <c r="J2461" s="3"/>
    </row>
    <row r="2462" spans="4:10" s="22" customFormat="1" x14ac:dyDescent="0.35">
      <c r="D2462" s="3"/>
      <c r="E2462" s="3"/>
      <c r="F2462" s="3"/>
      <c r="G2462" s="3"/>
      <c r="H2462" s="3"/>
      <c r="I2462" s="3"/>
      <c r="J2462" s="3"/>
    </row>
    <row r="2463" spans="4:10" s="22" customFormat="1" x14ac:dyDescent="0.35">
      <c r="D2463" s="3"/>
      <c r="E2463" s="3"/>
      <c r="F2463" s="3"/>
      <c r="G2463" s="3"/>
      <c r="H2463" s="3"/>
      <c r="I2463" s="3"/>
      <c r="J2463" s="3"/>
    </row>
    <row r="2464" spans="4:10" s="22" customFormat="1" x14ac:dyDescent="0.35">
      <c r="D2464" s="3"/>
      <c r="E2464" s="3"/>
      <c r="F2464" s="3"/>
      <c r="G2464" s="3"/>
      <c r="H2464" s="3"/>
      <c r="I2464" s="3"/>
      <c r="J2464" s="3"/>
    </row>
    <row r="2465" spans="4:10" s="22" customFormat="1" x14ac:dyDescent="0.35">
      <c r="D2465" s="3"/>
      <c r="E2465" s="3"/>
      <c r="F2465" s="3"/>
      <c r="G2465" s="3"/>
      <c r="H2465" s="3"/>
      <c r="I2465" s="3"/>
      <c r="J2465" s="3"/>
    </row>
    <row r="2466" spans="4:10" s="22" customFormat="1" x14ac:dyDescent="0.35">
      <c r="D2466" s="3"/>
      <c r="E2466" s="3"/>
      <c r="F2466" s="3"/>
      <c r="G2466" s="3"/>
      <c r="H2466" s="3"/>
      <c r="I2466" s="3"/>
      <c r="J2466" s="3"/>
    </row>
    <row r="2467" spans="4:10" s="22" customFormat="1" x14ac:dyDescent="0.35">
      <c r="D2467" s="3"/>
      <c r="E2467" s="3"/>
      <c r="F2467" s="3"/>
      <c r="G2467" s="3"/>
      <c r="H2467" s="3"/>
      <c r="I2467" s="3"/>
      <c r="J2467" s="3"/>
    </row>
    <row r="2468" spans="4:10" s="22" customFormat="1" x14ac:dyDescent="0.35">
      <c r="D2468" s="3"/>
      <c r="E2468" s="3"/>
      <c r="F2468" s="3"/>
      <c r="G2468" s="3"/>
      <c r="H2468" s="3"/>
      <c r="I2468" s="3"/>
      <c r="J2468" s="3"/>
    </row>
    <row r="2469" spans="4:10" s="22" customFormat="1" x14ac:dyDescent="0.35">
      <c r="D2469" s="3"/>
      <c r="E2469" s="3"/>
      <c r="F2469" s="3"/>
      <c r="G2469" s="3"/>
      <c r="H2469" s="3"/>
      <c r="I2469" s="3"/>
      <c r="J2469" s="3"/>
    </row>
    <row r="2470" spans="4:10" s="22" customFormat="1" x14ac:dyDescent="0.35">
      <c r="D2470" s="3"/>
      <c r="E2470" s="3"/>
      <c r="F2470" s="3"/>
      <c r="G2470" s="3"/>
      <c r="H2470" s="3"/>
      <c r="I2470" s="3"/>
      <c r="J2470" s="3"/>
    </row>
    <row r="2471" spans="4:10" s="22" customFormat="1" x14ac:dyDescent="0.35">
      <c r="D2471" s="3"/>
      <c r="E2471" s="3"/>
      <c r="F2471" s="3"/>
      <c r="G2471" s="3"/>
      <c r="H2471" s="3"/>
      <c r="I2471" s="3"/>
      <c r="J2471" s="3"/>
    </row>
    <row r="2472" spans="4:10" s="22" customFormat="1" x14ac:dyDescent="0.35">
      <c r="D2472" s="3"/>
      <c r="E2472" s="3"/>
      <c r="F2472" s="3"/>
      <c r="G2472" s="3"/>
      <c r="H2472" s="3"/>
      <c r="I2472" s="3"/>
      <c r="J2472" s="3"/>
    </row>
    <row r="2473" spans="4:10" s="22" customFormat="1" x14ac:dyDescent="0.35">
      <c r="D2473" s="3"/>
      <c r="E2473" s="3"/>
      <c r="F2473" s="3"/>
      <c r="G2473" s="3"/>
      <c r="H2473" s="3"/>
      <c r="I2473" s="3"/>
      <c r="J2473" s="3"/>
    </row>
    <row r="2474" spans="4:10" s="22" customFormat="1" x14ac:dyDescent="0.35">
      <c r="D2474" s="3"/>
      <c r="E2474" s="3"/>
      <c r="F2474" s="3"/>
      <c r="G2474" s="3"/>
      <c r="H2474" s="3"/>
      <c r="I2474" s="3"/>
      <c r="J2474" s="3"/>
    </row>
    <row r="2475" spans="4:10" s="22" customFormat="1" x14ac:dyDescent="0.35">
      <c r="D2475" s="3" t="s">
        <v>468</v>
      </c>
      <c r="E2475" s="3"/>
      <c r="F2475" s="3"/>
      <c r="G2475" s="3"/>
      <c r="H2475" s="3"/>
      <c r="I2475" s="3"/>
      <c r="J2475" s="3"/>
    </row>
    <row r="2476" spans="4:10" s="22" customFormat="1" x14ac:dyDescent="0.35">
      <c r="D2476" s="3"/>
      <c r="E2476" s="3"/>
      <c r="F2476" s="3"/>
      <c r="G2476" s="3"/>
      <c r="H2476" s="3"/>
      <c r="I2476" s="3"/>
      <c r="J2476" s="3"/>
    </row>
    <row r="2477" spans="4:10" s="22" customFormat="1" x14ac:dyDescent="0.35">
      <c r="D2477" s="3"/>
      <c r="E2477" s="3"/>
      <c r="F2477" s="3"/>
      <c r="G2477" s="3"/>
      <c r="H2477" s="3"/>
      <c r="I2477" s="3"/>
      <c r="J2477" s="3"/>
    </row>
    <row r="2478" spans="4:10" s="22" customFormat="1" x14ac:dyDescent="0.35">
      <c r="D2478" s="3"/>
      <c r="E2478" s="3"/>
      <c r="F2478" s="3"/>
      <c r="G2478" s="3"/>
      <c r="H2478" s="3"/>
      <c r="I2478" s="3"/>
      <c r="J2478" s="3"/>
    </row>
    <row r="2479" spans="4:10" s="22" customFormat="1" x14ac:dyDescent="0.35">
      <c r="D2479" s="3"/>
      <c r="E2479" s="3"/>
      <c r="F2479" s="3"/>
      <c r="G2479" s="3"/>
      <c r="H2479" s="3"/>
      <c r="I2479" s="3"/>
      <c r="J2479" s="3"/>
    </row>
    <row r="2480" spans="4:10" s="22" customFormat="1" x14ac:dyDescent="0.35">
      <c r="D2480" s="3"/>
      <c r="E2480" s="3"/>
      <c r="F2480" s="3"/>
      <c r="G2480" s="3"/>
      <c r="H2480" s="3"/>
      <c r="I2480" s="3"/>
      <c r="J2480" s="3"/>
    </row>
    <row r="2481" spans="4:10" s="22" customFormat="1" x14ac:dyDescent="0.35">
      <c r="D2481" s="3"/>
      <c r="E2481" s="3"/>
      <c r="F2481" s="3"/>
      <c r="G2481" s="3"/>
      <c r="H2481" s="3"/>
      <c r="I2481" s="3"/>
      <c r="J2481" s="3"/>
    </row>
    <row r="2482" spans="4:10" s="22" customFormat="1" x14ac:dyDescent="0.35">
      <c r="D2482" s="3"/>
      <c r="E2482" s="3"/>
      <c r="F2482" s="3"/>
      <c r="G2482" s="3"/>
      <c r="H2482" s="3"/>
      <c r="I2482" s="3"/>
      <c r="J2482" s="3"/>
    </row>
    <row r="2483" spans="4:10" s="22" customFormat="1" x14ac:dyDescent="0.35">
      <c r="D2483" s="3"/>
      <c r="E2483" s="3"/>
      <c r="F2483" s="3"/>
      <c r="G2483" s="3"/>
      <c r="H2483" s="3"/>
      <c r="I2483" s="3"/>
      <c r="J2483" s="3"/>
    </row>
    <row r="2484" spans="4:10" s="22" customFormat="1" x14ac:dyDescent="0.35">
      <c r="D2484" s="3"/>
      <c r="E2484" s="3"/>
      <c r="F2484" s="3"/>
      <c r="G2484" s="3"/>
      <c r="H2484" s="3"/>
      <c r="I2484" s="3"/>
      <c r="J2484" s="3"/>
    </row>
    <row r="2485" spans="4:10" s="22" customFormat="1" x14ac:dyDescent="0.35">
      <c r="D2485" s="3"/>
      <c r="E2485" s="3"/>
      <c r="F2485" s="3"/>
      <c r="G2485" s="3"/>
      <c r="H2485" s="3"/>
      <c r="I2485" s="3"/>
      <c r="J2485" s="3"/>
    </row>
    <row r="2486" spans="4:10" s="22" customFormat="1" x14ac:dyDescent="0.35">
      <c r="D2486" s="3"/>
      <c r="E2486" s="3"/>
      <c r="F2486" s="3"/>
      <c r="G2486" s="3"/>
      <c r="H2486" s="3"/>
      <c r="I2486" s="3"/>
      <c r="J2486" s="3"/>
    </row>
    <row r="2487" spans="4:10" s="22" customFormat="1" x14ac:dyDescent="0.35">
      <c r="D2487" s="3"/>
      <c r="E2487" s="3"/>
      <c r="F2487" s="3"/>
      <c r="G2487" s="3"/>
      <c r="H2487" s="3"/>
      <c r="I2487" s="3"/>
      <c r="J2487" s="3"/>
    </row>
    <row r="2488" spans="4:10" s="22" customFormat="1" x14ac:dyDescent="0.35">
      <c r="D2488" s="3"/>
      <c r="E2488" s="3"/>
      <c r="F2488" s="3"/>
      <c r="G2488" s="3"/>
      <c r="H2488" s="3"/>
      <c r="I2488" s="3"/>
      <c r="J2488" s="3"/>
    </row>
    <row r="2489" spans="4:10" s="22" customFormat="1" x14ac:dyDescent="0.35">
      <c r="D2489" s="3"/>
      <c r="E2489" s="3"/>
      <c r="F2489" s="3"/>
      <c r="G2489" s="3"/>
      <c r="H2489" s="3"/>
      <c r="I2489" s="3"/>
      <c r="J2489" s="3"/>
    </row>
    <row r="2490" spans="4:10" s="22" customFormat="1" x14ac:dyDescent="0.35">
      <c r="D2490" s="3"/>
      <c r="E2490" s="3"/>
      <c r="F2490" s="3"/>
      <c r="G2490" s="3"/>
      <c r="H2490" s="3"/>
      <c r="I2490" s="3"/>
      <c r="J2490" s="3"/>
    </row>
    <row r="2491" spans="4:10" s="22" customFormat="1" x14ac:dyDescent="0.35">
      <c r="D2491" s="3"/>
      <c r="E2491" s="3"/>
      <c r="F2491" s="3"/>
      <c r="G2491" s="3"/>
      <c r="H2491" s="3"/>
      <c r="I2491" s="3"/>
      <c r="J2491" s="3"/>
    </row>
    <row r="2492" spans="4:10" s="22" customFormat="1" x14ac:dyDescent="0.35">
      <c r="D2492" s="3"/>
      <c r="E2492" s="3"/>
      <c r="F2492" s="3"/>
      <c r="G2492" s="3"/>
      <c r="H2492" s="3"/>
      <c r="I2492" s="3"/>
      <c r="J2492" s="3"/>
    </row>
    <row r="2493" spans="4:10" s="22" customFormat="1" x14ac:dyDescent="0.35">
      <c r="D2493" s="3"/>
      <c r="E2493" s="3"/>
      <c r="F2493" s="3"/>
      <c r="G2493" s="3"/>
      <c r="H2493" s="3"/>
      <c r="I2493" s="3"/>
      <c r="J2493" s="3"/>
    </row>
    <row r="2494" spans="4:10" s="22" customFormat="1" x14ac:dyDescent="0.35">
      <c r="D2494" s="3"/>
      <c r="E2494" s="3"/>
      <c r="F2494" s="3"/>
      <c r="G2494" s="3"/>
      <c r="H2494" s="3"/>
      <c r="I2494" s="3"/>
      <c r="J2494" s="3"/>
    </row>
    <row r="2495" spans="4:10" s="22" customFormat="1" x14ac:dyDescent="0.35">
      <c r="D2495" s="3"/>
      <c r="E2495" s="3"/>
      <c r="F2495" s="3"/>
      <c r="G2495" s="3"/>
      <c r="H2495" s="3"/>
      <c r="I2495" s="3"/>
      <c r="J2495" s="3"/>
    </row>
    <row r="2496" spans="4:10" s="22" customFormat="1" x14ac:dyDescent="0.35">
      <c r="D2496" s="3"/>
      <c r="E2496" s="3"/>
      <c r="F2496" s="3"/>
      <c r="G2496" s="3"/>
      <c r="H2496" s="3"/>
      <c r="I2496" s="3"/>
      <c r="J2496" s="3"/>
    </row>
    <row r="2497" spans="4:10" s="22" customFormat="1" x14ac:dyDescent="0.35">
      <c r="D2497" s="3"/>
      <c r="E2497" s="3"/>
      <c r="F2497" s="3"/>
      <c r="G2497" s="3"/>
      <c r="H2497" s="3"/>
      <c r="I2497" s="3"/>
      <c r="J2497" s="3"/>
    </row>
    <row r="2498" spans="4:10" s="22" customFormat="1" x14ac:dyDescent="0.35">
      <c r="D2498" s="3"/>
      <c r="E2498" s="3"/>
      <c r="F2498" s="3"/>
      <c r="G2498" s="3"/>
      <c r="H2498" s="3"/>
      <c r="I2498" s="3"/>
      <c r="J2498" s="3"/>
    </row>
    <row r="2499" spans="4:10" s="22" customFormat="1" x14ac:dyDescent="0.35">
      <c r="D2499" s="3"/>
      <c r="E2499" s="3"/>
      <c r="F2499" s="3"/>
      <c r="G2499" s="3"/>
      <c r="H2499" s="3"/>
      <c r="I2499" s="3"/>
      <c r="J2499" s="3"/>
    </row>
    <row r="2500" spans="4:10" s="22" customFormat="1" x14ac:dyDescent="0.35">
      <c r="D2500" s="3"/>
      <c r="E2500" s="3"/>
      <c r="F2500" s="3"/>
      <c r="G2500" s="3"/>
      <c r="H2500" s="3"/>
      <c r="I2500" s="3"/>
      <c r="J2500" s="3"/>
    </row>
    <row r="2501" spans="4:10" s="22" customFormat="1" x14ac:dyDescent="0.35">
      <c r="D2501" s="3"/>
      <c r="E2501" s="3"/>
      <c r="F2501" s="3"/>
      <c r="G2501" s="3"/>
      <c r="H2501" s="3"/>
      <c r="I2501" s="3"/>
      <c r="J2501" s="3"/>
    </row>
    <row r="2502" spans="4:10" s="22" customFormat="1" x14ac:dyDescent="0.35">
      <c r="D2502" s="3"/>
      <c r="E2502" s="3"/>
      <c r="F2502" s="3"/>
      <c r="G2502" s="3"/>
      <c r="H2502" s="3"/>
      <c r="I2502" s="3"/>
      <c r="J2502" s="3"/>
    </row>
    <row r="2503" spans="4:10" s="22" customFormat="1" x14ac:dyDescent="0.35">
      <c r="D2503" s="3"/>
      <c r="E2503" s="3"/>
      <c r="F2503" s="3"/>
      <c r="G2503" s="3"/>
      <c r="H2503" s="3"/>
      <c r="I2503" s="3"/>
      <c r="J2503" s="3"/>
    </row>
    <row r="2504" spans="4:10" s="22" customFormat="1" x14ac:dyDescent="0.35">
      <c r="D2504" s="3"/>
      <c r="E2504" s="3"/>
      <c r="F2504" s="3"/>
      <c r="G2504" s="3"/>
      <c r="H2504" s="3"/>
      <c r="I2504" s="3"/>
      <c r="J2504" s="3"/>
    </row>
    <row r="2505" spans="4:10" s="22" customFormat="1" x14ac:dyDescent="0.35">
      <c r="D2505" s="3"/>
      <c r="E2505" s="3"/>
      <c r="F2505" s="3"/>
      <c r="G2505" s="3"/>
      <c r="H2505" s="3"/>
      <c r="I2505" s="3"/>
      <c r="J2505" s="3"/>
    </row>
    <row r="2506" spans="4:10" s="22" customFormat="1" x14ac:dyDescent="0.35">
      <c r="D2506" s="3"/>
      <c r="E2506" s="3"/>
      <c r="F2506" s="3"/>
      <c r="G2506" s="3"/>
      <c r="H2506" s="3"/>
      <c r="I2506" s="3"/>
      <c r="J2506" s="3"/>
    </row>
    <row r="2507" spans="4:10" s="22" customFormat="1" x14ac:dyDescent="0.35">
      <c r="D2507" s="3"/>
      <c r="E2507" s="3"/>
      <c r="F2507" s="3"/>
      <c r="G2507" s="3"/>
      <c r="H2507" s="3"/>
      <c r="I2507" s="3"/>
      <c r="J2507" s="3"/>
    </row>
    <row r="2508" spans="4:10" s="22" customFormat="1" x14ac:dyDescent="0.35">
      <c r="D2508" s="3"/>
      <c r="E2508" s="3"/>
      <c r="F2508" s="3"/>
      <c r="G2508" s="3"/>
      <c r="H2508" s="3"/>
      <c r="I2508" s="3"/>
      <c r="J2508" s="3"/>
    </row>
    <row r="2509" spans="4:10" s="22" customFormat="1" x14ac:dyDescent="0.35">
      <c r="D2509" s="3"/>
      <c r="E2509" s="3"/>
      <c r="F2509" s="3"/>
      <c r="G2509" s="3"/>
      <c r="H2509" s="3"/>
      <c r="I2509" s="3"/>
      <c r="J2509" s="3"/>
    </row>
    <row r="2510" spans="4:10" s="22" customFormat="1" x14ac:dyDescent="0.35">
      <c r="D2510" s="3"/>
      <c r="E2510" s="3"/>
      <c r="F2510" s="3"/>
      <c r="G2510" s="3"/>
      <c r="H2510" s="3"/>
      <c r="I2510" s="3"/>
      <c r="J2510" s="3"/>
    </row>
    <row r="2511" spans="4:10" s="22" customFormat="1" x14ac:dyDescent="0.35">
      <c r="D2511" s="3"/>
      <c r="E2511" s="3"/>
      <c r="F2511" s="3"/>
      <c r="G2511" s="3"/>
      <c r="H2511" s="3"/>
      <c r="I2511" s="3"/>
      <c r="J2511" s="3"/>
    </row>
    <row r="2512" spans="4:10" s="22" customFormat="1" x14ac:dyDescent="0.35">
      <c r="D2512" s="3"/>
      <c r="E2512" s="3"/>
      <c r="F2512" s="3"/>
      <c r="G2512" s="3"/>
      <c r="H2512" s="3"/>
      <c r="I2512" s="3"/>
      <c r="J2512" s="3"/>
    </row>
    <row r="2513" spans="4:10" s="22" customFormat="1" x14ac:dyDescent="0.35">
      <c r="D2513" s="3"/>
      <c r="E2513" s="3"/>
      <c r="F2513" s="3"/>
      <c r="G2513" s="3"/>
      <c r="H2513" s="3"/>
      <c r="I2513" s="3"/>
      <c r="J2513" s="3"/>
    </row>
    <row r="2514" spans="4:10" s="22" customFormat="1" x14ac:dyDescent="0.35">
      <c r="D2514" s="3"/>
      <c r="E2514" s="3"/>
      <c r="F2514" s="3"/>
      <c r="G2514" s="3"/>
      <c r="H2514" s="3"/>
      <c r="I2514" s="3"/>
      <c r="J2514" s="3"/>
    </row>
    <row r="2515" spans="4:10" s="22" customFormat="1" x14ac:dyDescent="0.35">
      <c r="D2515" s="3"/>
      <c r="E2515" s="3"/>
      <c r="F2515" s="3"/>
      <c r="G2515" s="3"/>
      <c r="H2515" s="3"/>
      <c r="I2515" s="3"/>
      <c r="J2515" s="3"/>
    </row>
    <row r="2516" spans="4:10" s="22" customFormat="1" x14ac:dyDescent="0.35">
      <c r="D2516" s="3"/>
      <c r="E2516" s="3"/>
      <c r="F2516" s="3"/>
      <c r="G2516" s="3"/>
      <c r="H2516" s="3"/>
      <c r="I2516" s="3"/>
      <c r="J2516" s="3"/>
    </row>
    <row r="2517" spans="4:10" s="22" customFormat="1" x14ac:dyDescent="0.35">
      <c r="D2517" s="3"/>
      <c r="E2517" s="3"/>
      <c r="F2517" s="3"/>
      <c r="G2517" s="3"/>
      <c r="H2517" s="3"/>
      <c r="I2517" s="3"/>
      <c r="J2517" s="3"/>
    </row>
    <row r="2518" spans="4:10" s="22" customFormat="1" x14ac:dyDescent="0.35">
      <c r="D2518" s="3"/>
      <c r="E2518" s="3"/>
      <c r="F2518" s="3"/>
      <c r="G2518" s="3"/>
      <c r="H2518" s="3"/>
      <c r="I2518" s="3"/>
      <c r="J2518" s="3"/>
    </row>
    <row r="2519" spans="4:10" s="22" customFormat="1" x14ac:dyDescent="0.35">
      <c r="D2519" s="3"/>
      <c r="E2519" s="3"/>
      <c r="F2519" s="3"/>
      <c r="G2519" s="3"/>
      <c r="H2519" s="3"/>
      <c r="I2519" s="3"/>
      <c r="J2519" s="3"/>
    </row>
    <row r="2520" spans="4:10" s="22" customFormat="1" x14ac:dyDescent="0.35">
      <c r="D2520" s="3"/>
      <c r="E2520" s="3"/>
      <c r="F2520" s="3"/>
      <c r="G2520" s="3"/>
      <c r="H2520" s="3"/>
      <c r="I2520" s="3"/>
      <c r="J2520" s="3"/>
    </row>
    <row r="2521" spans="4:10" s="22" customFormat="1" x14ac:dyDescent="0.35">
      <c r="D2521" s="3"/>
      <c r="E2521" s="3"/>
      <c r="F2521" s="3"/>
      <c r="G2521" s="3"/>
      <c r="H2521" s="3"/>
      <c r="I2521" s="3"/>
      <c r="J2521" s="3"/>
    </row>
    <row r="2522" spans="4:10" s="22" customFormat="1" x14ac:dyDescent="0.35">
      <c r="D2522" s="3"/>
      <c r="E2522" s="3"/>
      <c r="F2522" s="3"/>
      <c r="G2522" s="3"/>
      <c r="H2522" s="3"/>
      <c r="I2522" s="3"/>
      <c r="J2522" s="3"/>
    </row>
    <row r="2523" spans="4:10" s="22" customFormat="1" x14ac:dyDescent="0.35">
      <c r="D2523" s="3"/>
      <c r="E2523" s="3"/>
      <c r="F2523" s="3"/>
      <c r="G2523" s="3"/>
      <c r="H2523" s="3"/>
      <c r="I2523" s="3"/>
      <c r="J2523" s="3"/>
    </row>
    <row r="2524" spans="4:10" s="22" customFormat="1" x14ac:dyDescent="0.35">
      <c r="D2524" s="3"/>
      <c r="E2524" s="3"/>
      <c r="F2524" s="3"/>
      <c r="G2524" s="3"/>
      <c r="H2524" s="3"/>
      <c r="I2524" s="3"/>
      <c r="J2524" s="3"/>
    </row>
    <row r="2525" spans="4:10" s="22" customFormat="1" x14ac:dyDescent="0.35">
      <c r="D2525" s="3"/>
      <c r="E2525" s="3"/>
      <c r="F2525" s="3"/>
      <c r="G2525" s="3"/>
      <c r="H2525" s="3"/>
      <c r="I2525" s="3"/>
      <c r="J2525" s="3"/>
    </row>
    <row r="2526" spans="4:10" s="22" customFormat="1" x14ac:dyDescent="0.35">
      <c r="D2526" s="3"/>
      <c r="E2526" s="3"/>
      <c r="F2526" s="3"/>
      <c r="G2526" s="3"/>
      <c r="H2526" s="3"/>
      <c r="I2526" s="3"/>
      <c r="J2526" s="3"/>
    </row>
    <row r="2527" spans="4:10" s="22" customFormat="1" x14ac:dyDescent="0.35">
      <c r="D2527" s="3"/>
      <c r="E2527" s="3"/>
      <c r="F2527" s="3"/>
      <c r="G2527" s="3"/>
      <c r="H2527" s="3"/>
      <c r="I2527" s="3"/>
      <c r="J2527" s="3"/>
    </row>
    <row r="2528" spans="4:10" s="22" customFormat="1" x14ac:dyDescent="0.35">
      <c r="D2528" s="3"/>
      <c r="E2528" s="3"/>
      <c r="F2528" s="3"/>
      <c r="G2528" s="3"/>
      <c r="H2528" s="3"/>
      <c r="I2528" s="3"/>
      <c r="J2528" s="3"/>
    </row>
    <row r="2529" spans="4:10" s="22" customFormat="1" x14ac:dyDescent="0.35">
      <c r="D2529" s="3"/>
      <c r="E2529" s="3"/>
      <c r="F2529" s="3"/>
      <c r="G2529" s="3"/>
      <c r="H2529" s="3"/>
      <c r="I2529" s="3"/>
      <c r="J2529" s="3"/>
    </row>
    <row r="2530" spans="4:10" s="22" customFormat="1" x14ac:dyDescent="0.35">
      <c r="D2530" s="3"/>
      <c r="E2530" s="3"/>
      <c r="F2530" s="3"/>
      <c r="G2530" s="3"/>
      <c r="H2530" s="3"/>
      <c r="I2530" s="3"/>
      <c r="J2530" s="3"/>
    </row>
    <row r="2531" spans="4:10" s="22" customFormat="1" x14ac:dyDescent="0.35">
      <c r="D2531" s="3" t="s">
        <v>469</v>
      </c>
      <c r="E2531" s="3"/>
      <c r="F2531" s="3"/>
      <c r="G2531" s="3"/>
      <c r="H2531" s="3"/>
      <c r="I2531" s="3"/>
      <c r="J2531" s="3"/>
    </row>
    <row r="2532" spans="4:10" s="22" customFormat="1" x14ac:dyDescent="0.35">
      <c r="D2532" s="3" t="s">
        <v>470</v>
      </c>
      <c r="E2532" s="3"/>
      <c r="F2532" s="3"/>
      <c r="G2532" s="3"/>
      <c r="H2532" s="3"/>
      <c r="I2532" s="3"/>
      <c r="J2532" s="3"/>
    </row>
    <row r="2533" spans="4:10" s="22" customFormat="1" x14ac:dyDescent="0.35">
      <c r="D2533" s="3" t="s">
        <v>276</v>
      </c>
      <c r="E2533" s="3"/>
      <c r="F2533" s="3"/>
      <c r="G2533" s="3"/>
      <c r="H2533" s="3"/>
      <c r="I2533" s="3"/>
      <c r="J2533" s="3"/>
    </row>
    <row r="2534" spans="4:10" s="22" customFormat="1" x14ac:dyDescent="0.35">
      <c r="D2534" s="3" t="s">
        <v>471</v>
      </c>
      <c r="E2534" s="3"/>
      <c r="F2534" s="3"/>
      <c r="G2534" s="3"/>
      <c r="H2534" s="3"/>
      <c r="I2534" s="3"/>
      <c r="J2534" s="3"/>
    </row>
    <row r="2535" spans="4:10" s="22" customFormat="1" x14ac:dyDescent="0.35">
      <c r="D2535" s="3"/>
      <c r="E2535" s="3"/>
      <c r="F2535" s="3"/>
      <c r="G2535" s="3"/>
      <c r="H2535" s="3"/>
      <c r="I2535" s="3"/>
      <c r="J2535" s="3"/>
    </row>
    <row r="2536" spans="4:10" s="22" customFormat="1" x14ac:dyDescent="0.35">
      <c r="D2536" s="3" t="s">
        <v>472</v>
      </c>
      <c r="E2536" s="3"/>
      <c r="F2536" s="3"/>
      <c r="G2536" s="3"/>
      <c r="H2536" s="3"/>
      <c r="I2536" s="3"/>
      <c r="J2536" s="3"/>
    </row>
    <row r="2537" spans="4:10" s="22" customFormat="1" x14ac:dyDescent="0.35">
      <c r="D2537" s="3"/>
      <c r="E2537" s="3"/>
      <c r="F2537" s="3"/>
      <c r="G2537" s="3"/>
      <c r="H2537" s="3"/>
      <c r="I2537" s="3"/>
      <c r="J2537" s="3"/>
    </row>
    <row r="2538" spans="4:10" s="22" customFormat="1" x14ac:dyDescent="0.35">
      <c r="D2538" s="81" t="s">
        <v>608</v>
      </c>
      <c r="E2538" s="3"/>
      <c r="F2538" s="3"/>
      <c r="G2538" s="3"/>
      <c r="H2538" s="3"/>
      <c r="I2538" s="3"/>
      <c r="J2538" s="3"/>
    </row>
    <row r="2539" spans="4:10" s="22" customFormat="1" x14ac:dyDescent="0.35">
      <c r="D2539" s="3"/>
      <c r="E2539" s="3"/>
      <c r="F2539" s="3"/>
      <c r="G2539" s="3"/>
      <c r="H2539" s="3"/>
      <c r="I2539" s="3"/>
      <c r="J2539" s="3"/>
    </row>
    <row r="2540" spans="4:10" s="22" customFormat="1" x14ac:dyDescent="0.35">
      <c r="D2540" s="3"/>
      <c r="E2540" s="3"/>
      <c r="F2540" s="3"/>
      <c r="G2540" s="3"/>
      <c r="H2540" s="3"/>
      <c r="I2540" s="3"/>
      <c r="J2540" s="3"/>
    </row>
    <row r="2541" spans="4:10" s="22" customFormat="1" x14ac:dyDescent="0.35">
      <c r="D2541" s="3"/>
      <c r="E2541" s="3"/>
      <c r="F2541" s="3"/>
      <c r="G2541" s="3"/>
      <c r="H2541" s="3"/>
      <c r="I2541" s="3"/>
      <c r="J2541" s="3"/>
    </row>
    <row r="2542" spans="4:10" s="22" customFormat="1" x14ac:dyDescent="0.35">
      <c r="D2542" s="3" t="s">
        <v>473</v>
      </c>
      <c r="E2542" s="3"/>
      <c r="F2542" s="3"/>
      <c r="G2542" s="3"/>
      <c r="H2542" s="3"/>
      <c r="I2542" s="3"/>
      <c r="J2542" s="3"/>
    </row>
    <row r="2543" spans="4:10" s="22" customFormat="1" x14ac:dyDescent="0.35">
      <c r="D2543" s="82"/>
      <c r="E2543" s="3"/>
      <c r="F2543" s="3"/>
      <c r="G2543" s="3"/>
      <c r="H2543" s="3"/>
      <c r="I2543" s="3"/>
      <c r="J2543" s="3"/>
    </row>
    <row r="2544" spans="4:10" s="22" customFormat="1" x14ac:dyDescent="0.35">
      <c r="D2544" s="93" t="s">
        <v>474</v>
      </c>
      <c r="E2544" s="3"/>
      <c r="F2544" s="3"/>
      <c r="G2544" s="3"/>
      <c r="H2544" s="3"/>
      <c r="I2544" s="3"/>
      <c r="J2544" s="3"/>
    </row>
    <row r="2545" spans="4:10" s="22" customFormat="1" x14ac:dyDescent="0.35">
      <c r="D2545" s="3"/>
      <c r="E2545" s="3"/>
      <c r="F2545" s="3"/>
      <c r="G2545" s="3"/>
      <c r="H2545" s="3"/>
      <c r="I2545" s="3"/>
      <c r="J2545" s="3"/>
    </row>
    <row r="2546" spans="4:10" s="22" customFormat="1" x14ac:dyDescent="0.35">
      <c r="D2546" s="3" t="s">
        <v>475</v>
      </c>
      <c r="E2546" s="3"/>
      <c r="F2546" s="3"/>
      <c r="G2546" s="3"/>
      <c r="H2546" s="3"/>
      <c r="I2546" s="3"/>
      <c r="J2546" s="3"/>
    </row>
    <row r="2547" spans="4:10" s="22" customFormat="1" x14ac:dyDescent="0.35">
      <c r="D2547" s="3"/>
      <c r="E2547" s="3"/>
      <c r="F2547" s="3"/>
      <c r="G2547" s="3"/>
      <c r="H2547" s="3"/>
      <c r="I2547" s="3"/>
      <c r="J2547" s="3"/>
    </row>
    <row r="2548" spans="4:10" s="22" customFormat="1" x14ac:dyDescent="0.35">
      <c r="D2548" s="81" t="s">
        <v>476</v>
      </c>
      <c r="E2548" s="3"/>
      <c r="F2548" s="3"/>
      <c r="G2548" s="3"/>
      <c r="H2548" s="3"/>
      <c r="I2548" s="3"/>
      <c r="J2548" s="3"/>
    </row>
    <row r="2549" spans="4:10" s="22" customFormat="1" x14ac:dyDescent="0.35">
      <c r="D2549" s="3"/>
      <c r="E2549" s="3"/>
      <c r="F2549" s="3"/>
      <c r="G2549" s="3"/>
      <c r="H2549" s="3"/>
      <c r="I2549" s="3"/>
      <c r="J2549" s="3"/>
    </row>
    <row r="2550" spans="4:10" s="22" customFormat="1" x14ac:dyDescent="0.35">
      <c r="D2550" s="3" t="s">
        <v>609</v>
      </c>
      <c r="E2550" s="3"/>
      <c r="F2550" s="3"/>
      <c r="G2550" s="3"/>
      <c r="H2550" s="3"/>
      <c r="I2550" s="3"/>
      <c r="J2550" s="3"/>
    </row>
    <row r="2551" spans="4:10" s="22" customFormat="1" x14ac:dyDescent="0.35">
      <c r="D2551" s="3"/>
      <c r="E2551" s="3"/>
      <c r="F2551" s="3"/>
      <c r="G2551" s="3"/>
      <c r="H2551" s="3"/>
      <c r="I2551" s="3"/>
      <c r="J2551" s="3"/>
    </row>
    <row r="2552" spans="4:10" s="22" customFormat="1" x14ac:dyDescent="0.35">
      <c r="D2552" s="3" t="s">
        <v>477</v>
      </c>
      <c r="E2552" s="3"/>
      <c r="F2552" s="3"/>
      <c r="G2552" s="3"/>
      <c r="H2552" s="3"/>
      <c r="I2552" s="3"/>
      <c r="J2552" s="3"/>
    </row>
    <row r="2553" spans="4:10" s="22" customFormat="1" x14ac:dyDescent="0.35">
      <c r="D2553" s="3"/>
      <c r="E2553" s="3"/>
      <c r="F2553" s="3"/>
      <c r="G2553" s="3"/>
      <c r="H2553" s="3"/>
      <c r="I2553" s="3"/>
      <c r="J2553" s="3"/>
    </row>
    <row r="2554" spans="4:10" s="22" customFormat="1" ht="28" x14ac:dyDescent="0.35">
      <c r="D2554" s="87" t="s">
        <v>478</v>
      </c>
      <c r="E2554" s="87" t="s">
        <v>479</v>
      </c>
      <c r="F2554" s="3"/>
      <c r="G2554" s="3"/>
      <c r="H2554" s="3"/>
      <c r="I2554" s="3"/>
      <c r="J2554" s="3"/>
    </row>
    <row r="2555" spans="4:10" s="22" customFormat="1" x14ac:dyDescent="0.35">
      <c r="D2555" s="88" t="s">
        <v>480</v>
      </c>
      <c r="E2555" s="88" t="s">
        <v>481</v>
      </c>
      <c r="F2555" s="3"/>
      <c r="G2555" s="3"/>
      <c r="H2555" s="3"/>
      <c r="I2555" s="3"/>
      <c r="J2555" s="3"/>
    </row>
    <row r="2556" spans="4:10" s="22" customFormat="1" x14ac:dyDescent="0.35">
      <c r="D2556" s="88" t="s">
        <v>482</v>
      </c>
      <c r="E2556" s="88" t="s">
        <v>483</v>
      </c>
      <c r="F2556" s="3"/>
      <c r="G2556" s="3"/>
      <c r="H2556" s="3"/>
      <c r="I2556" s="3"/>
      <c r="J2556" s="3"/>
    </row>
    <row r="2557" spans="4:10" s="22" customFormat="1" ht="28" x14ac:dyDescent="0.35">
      <c r="D2557" s="88" t="s">
        <v>484</v>
      </c>
      <c r="E2557" s="88" t="s">
        <v>485</v>
      </c>
      <c r="F2557" s="3"/>
      <c r="G2557" s="3"/>
      <c r="H2557" s="3"/>
      <c r="I2557" s="3"/>
      <c r="J2557" s="3"/>
    </row>
    <row r="2558" spans="4:10" s="22" customFormat="1" ht="42" x14ac:dyDescent="0.35">
      <c r="D2558" s="88" t="s">
        <v>486</v>
      </c>
      <c r="E2558" s="88" t="s">
        <v>487</v>
      </c>
      <c r="F2558" s="3"/>
      <c r="G2558" s="3"/>
      <c r="H2558" s="3"/>
      <c r="I2558" s="3"/>
      <c r="J2558" s="3"/>
    </row>
    <row r="2559" spans="4:10" s="22" customFormat="1" ht="28" x14ac:dyDescent="0.35">
      <c r="D2559" s="88" t="s">
        <v>488</v>
      </c>
      <c r="E2559" s="88" t="s">
        <v>489</v>
      </c>
      <c r="F2559" s="3"/>
      <c r="G2559" s="3"/>
      <c r="H2559" s="3"/>
      <c r="I2559" s="3"/>
      <c r="J2559" s="3"/>
    </row>
    <row r="2560" spans="4:10" s="22" customFormat="1" x14ac:dyDescent="0.35">
      <c r="D2560" s="3"/>
      <c r="E2560" s="3"/>
      <c r="F2560" s="3"/>
      <c r="G2560" s="3"/>
      <c r="H2560" s="3"/>
      <c r="I2560" s="3"/>
      <c r="J2560" s="3"/>
    </row>
    <row r="2561" spans="4:10" s="22" customFormat="1" x14ac:dyDescent="0.35">
      <c r="D2561" s="3" t="s">
        <v>490</v>
      </c>
      <c r="E2561" s="3"/>
      <c r="F2561" s="3"/>
      <c r="G2561" s="3"/>
      <c r="H2561" s="3"/>
      <c r="I2561" s="3"/>
      <c r="J2561" s="3"/>
    </row>
    <row r="2562" spans="4:10" s="22" customFormat="1" x14ac:dyDescent="0.35">
      <c r="D2562" s="82"/>
      <c r="E2562" s="3"/>
      <c r="F2562" s="3"/>
      <c r="G2562" s="3"/>
      <c r="H2562" s="3"/>
      <c r="I2562" s="3"/>
      <c r="J2562" s="3"/>
    </row>
    <row r="2563" spans="4:10" s="22" customFormat="1" x14ac:dyDescent="0.35">
      <c r="D2563" s="82" t="s">
        <v>491</v>
      </c>
      <c r="E2563" s="3"/>
      <c r="F2563" s="3"/>
      <c r="G2563" s="3"/>
      <c r="H2563" s="3"/>
      <c r="I2563" s="3"/>
      <c r="J2563" s="3"/>
    </row>
    <row r="2564" spans="4:10" s="22" customFormat="1" x14ac:dyDescent="0.35">
      <c r="D2564" s="82" t="s">
        <v>492</v>
      </c>
      <c r="E2564" s="3"/>
      <c r="F2564" s="3"/>
      <c r="G2564" s="3"/>
      <c r="H2564" s="3"/>
      <c r="I2564" s="3"/>
      <c r="J2564" s="3"/>
    </row>
    <row r="2565" spans="4:10" s="22" customFormat="1" x14ac:dyDescent="0.35">
      <c r="D2565" s="82" t="s">
        <v>493</v>
      </c>
      <c r="E2565" s="3"/>
      <c r="F2565" s="3"/>
      <c r="G2565" s="3"/>
      <c r="H2565" s="3"/>
      <c r="I2565" s="3"/>
      <c r="J2565" s="3"/>
    </row>
    <row r="2566" spans="4:10" s="22" customFormat="1" x14ac:dyDescent="0.35">
      <c r="D2566" s="82" t="s">
        <v>494</v>
      </c>
      <c r="E2566" s="3"/>
      <c r="F2566" s="3"/>
      <c r="G2566" s="3"/>
      <c r="H2566" s="3"/>
      <c r="I2566" s="3"/>
      <c r="J2566" s="3"/>
    </row>
    <row r="2567" spans="4:10" s="22" customFormat="1" x14ac:dyDescent="0.35">
      <c r="D2567" s="82" t="s">
        <v>495</v>
      </c>
      <c r="E2567" s="3"/>
      <c r="F2567" s="3"/>
      <c r="G2567" s="3"/>
      <c r="H2567" s="3"/>
      <c r="I2567" s="3"/>
      <c r="J2567" s="3"/>
    </row>
    <row r="2568" spans="4:10" s="22" customFormat="1" x14ac:dyDescent="0.35">
      <c r="D2568" s="82" t="s">
        <v>496</v>
      </c>
      <c r="E2568" s="3"/>
      <c r="F2568" s="3"/>
      <c r="G2568" s="3"/>
      <c r="H2568" s="3"/>
      <c r="I2568" s="3"/>
      <c r="J2568" s="3"/>
    </row>
    <row r="2569" spans="4:10" s="22" customFormat="1" x14ac:dyDescent="0.35">
      <c r="D2569" s="82" t="s">
        <v>497</v>
      </c>
      <c r="E2569" s="3"/>
      <c r="F2569" s="3"/>
      <c r="G2569" s="3"/>
      <c r="H2569" s="3"/>
      <c r="I2569" s="3"/>
      <c r="J2569" s="3"/>
    </row>
    <row r="2570" spans="4:10" s="22" customFormat="1" x14ac:dyDescent="0.35">
      <c r="D2570" s="82" t="s">
        <v>498</v>
      </c>
      <c r="E2570" s="3"/>
      <c r="F2570" s="3"/>
      <c r="G2570" s="3"/>
      <c r="H2570" s="3"/>
      <c r="I2570" s="3"/>
      <c r="J2570" s="3"/>
    </row>
    <row r="2571" spans="4:10" s="22" customFormat="1" x14ac:dyDescent="0.35">
      <c r="D2571" s="3"/>
      <c r="E2571" s="3"/>
      <c r="F2571" s="3"/>
      <c r="G2571" s="3"/>
      <c r="H2571" s="3"/>
      <c r="I2571" s="3"/>
      <c r="J2571" s="3"/>
    </row>
    <row r="2572" spans="4:10" s="22" customFormat="1" x14ac:dyDescent="0.35">
      <c r="D2572" s="3" t="s">
        <v>610</v>
      </c>
      <c r="E2572" s="3"/>
      <c r="F2572" s="3"/>
      <c r="G2572" s="3"/>
      <c r="H2572" s="3"/>
      <c r="I2572" s="3"/>
      <c r="J2572" s="3"/>
    </row>
    <row r="2573" spans="4:10" s="22" customFormat="1" x14ac:dyDescent="0.35">
      <c r="D2573" s="3"/>
      <c r="E2573" s="3"/>
      <c r="F2573" s="3"/>
      <c r="G2573" s="3"/>
      <c r="H2573" s="3"/>
      <c r="I2573" s="3"/>
      <c r="J2573" s="3"/>
    </row>
    <row r="2574" spans="4:10" s="22" customFormat="1" x14ac:dyDescent="0.35">
      <c r="D2574" s="3" t="s">
        <v>499</v>
      </c>
      <c r="E2574" s="3"/>
      <c r="F2574" s="3"/>
      <c r="G2574" s="3"/>
      <c r="H2574" s="3"/>
      <c r="I2574" s="3"/>
      <c r="J2574" s="3"/>
    </row>
    <row r="2575" spans="4:10" s="22" customFormat="1" x14ac:dyDescent="0.35">
      <c r="D2575" s="3"/>
      <c r="E2575" s="3"/>
      <c r="F2575" s="3"/>
      <c r="G2575" s="3"/>
      <c r="H2575" s="3"/>
      <c r="I2575" s="3"/>
      <c r="J2575" s="3"/>
    </row>
    <row r="2576" spans="4:10" s="22" customFormat="1" x14ac:dyDescent="0.35">
      <c r="D2576" s="3"/>
      <c r="E2576" s="3"/>
      <c r="F2576" s="3"/>
      <c r="G2576" s="3"/>
      <c r="H2576" s="3"/>
      <c r="I2576" s="3"/>
      <c r="J2576" s="3"/>
    </row>
    <row r="2577" spans="4:10" s="22" customFormat="1" x14ac:dyDescent="0.35">
      <c r="D2577" s="3"/>
      <c r="E2577" s="3"/>
      <c r="F2577" s="3"/>
      <c r="G2577" s="3"/>
      <c r="H2577" s="3"/>
      <c r="I2577" s="3"/>
      <c r="J2577" s="3"/>
    </row>
    <row r="2578" spans="4:10" s="22" customFormat="1" ht="22.5" x14ac:dyDescent="0.35">
      <c r="D2578" s="83" t="s">
        <v>500</v>
      </c>
      <c r="E2578" s="3"/>
      <c r="F2578" s="3"/>
      <c r="G2578" s="3"/>
      <c r="H2578" s="3"/>
      <c r="I2578" s="3"/>
      <c r="J2578" s="3"/>
    </row>
    <row r="2579" spans="4:10" s="22" customFormat="1" x14ac:dyDescent="0.35">
      <c r="D2579" s="3"/>
      <c r="E2579" s="3"/>
      <c r="F2579" s="3"/>
      <c r="G2579" s="3"/>
      <c r="H2579" s="3"/>
      <c r="I2579" s="3"/>
      <c r="J2579" s="3"/>
    </row>
    <row r="2580" spans="4:10" s="22" customFormat="1" x14ac:dyDescent="0.35">
      <c r="D2580" s="3" t="s">
        <v>611</v>
      </c>
      <c r="E2580" s="3"/>
      <c r="F2580" s="3"/>
      <c r="G2580" s="3"/>
      <c r="H2580" s="3"/>
      <c r="I2580" s="3"/>
      <c r="J2580" s="3"/>
    </row>
    <row r="2581" spans="4:10" s="22" customFormat="1" x14ac:dyDescent="0.35">
      <c r="D2581" s="82"/>
      <c r="E2581" s="3"/>
      <c r="F2581" s="3"/>
      <c r="G2581" s="3"/>
      <c r="H2581" s="3"/>
      <c r="I2581" s="3"/>
      <c r="J2581" s="3"/>
    </row>
    <row r="2582" spans="4:10" s="22" customFormat="1" x14ac:dyDescent="0.35">
      <c r="D2582" s="93" t="s">
        <v>612</v>
      </c>
      <c r="E2582" s="3"/>
      <c r="F2582" s="3"/>
      <c r="G2582" s="3"/>
      <c r="H2582" s="3"/>
      <c r="I2582" s="3"/>
      <c r="J2582" s="3"/>
    </row>
    <row r="2583" spans="4:10" s="22" customFormat="1" x14ac:dyDescent="0.35">
      <c r="D2583" s="93" t="s">
        <v>613</v>
      </c>
      <c r="E2583" s="3"/>
      <c r="F2583" s="3"/>
      <c r="G2583" s="3"/>
      <c r="H2583" s="3"/>
      <c r="I2583" s="3"/>
      <c r="J2583" s="3"/>
    </row>
    <row r="2584" spans="4:10" s="22" customFormat="1" x14ac:dyDescent="0.35">
      <c r="D2584" s="3"/>
      <c r="E2584" s="3"/>
      <c r="F2584" s="3"/>
      <c r="G2584" s="3"/>
      <c r="H2584" s="3"/>
      <c r="I2584" s="3"/>
      <c r="J2584" s="3"/>
    </row>
    <row r="2585" spans="4:10" s="22" customFormat="1" x14ac:dyDescent="0.35">
      <c r="D2585" s="3"/>
      <c r="E2585" s="3"/>
      <c r="F2585" s="3"/>
      <c r="G2585" s="3"/>
      <c r="H2585" s="3"/>
      <c r="I2585" s="3"/>
      <c r="J2585" s="3"/>
    </row>
    <row r="2586" spans="4:10" s="22" customFormat="1" x14ac:dyDescent="0.35">
      <c r="D2586" s="3"/>
      <c r="E2586" s="3"/>
      <c r="F2586" s="3"/>
      <c r="G2586" s="3"/>
      <c r="H2586" s="3"/>
      <c r="I2586" s="3"/>
      <c r="J2586" s="3"/>
    </row>
    <row r="2587" spans="4:10" s="22" customFormat="1" ht="22.5" x14ac:dyDescent="0.35">
      <c r="D2587" s="83" t="s">
        <v>501</v>
      </c>
      <c r="E2587" s="3"/>
      <c r="F2587" s="3"/>
      <c r="G2587" s="3"/>
      <c r="H2587" s="3"/>
      <c r="I2587" s="3"/>
      <c r="J2587" s="3"/>
    </row>
    <row r="2588" spans="4:10" s="22" customFormat="1" x14ac:dyDescent="0.35">
      <c r="D2588" s="3"/>
      <c r="E2588" s="3"/>
      <c r="F2588" s="3"/>
      <c r="G2588" s="3"/>
      <c r="H2588" s="3"/>
      <c r="I2588" s="3"/>
      <c r="J2588" s="3"/>
    </row>
    <row r="2589" spans="4:10" s="22" customFormat="1" x14ac:dyDescent="0.35">
      <c r="D2589" s="3" t="s">
        <v>614</v>
      </c>
      <c r="E2589" s="3"/>
      <c r="F2589" s="3"/>
      <c r="G2589" s="3"/>
      <c r="H2589" s="3"/>
      <c r="I2589" s="3"/>
      <c r="J2589" s="3"/>
    </row>
    <row r="2590" spans="4:10" s="22" customFormat="1" x14ac:dyDescent="0.35">
      <c r="D2590" s="3"/>
      <c r="E2590" s="3"/>
      <c r="F2590" s="3"/>
      <c r="G2590" s="3"/>
      <c r="H2590" s="3"/>
      <c r="I2590" s="3"/>
      <c r="J2590" s="3"/>
    </row>
    <row r="2591" spans="4:10" s="22" customFormat="1" x14ac:dyDescent="0.35">
      <c r="D2591" s="3" t="s">
        <v>615</v>
      </c>
      <c r="E2591" s="3"/>
      <c r="F2591" s="3"/>
      <c r="G2591" s="3"/>
      <c r="H2591" s="3"/>
      <c r="I2591" s="3"/>
      <c r="J2591" s="3"/>
    </row>
    <row r="2592" spans="4:10" s="22" customFormat="1" x14ac:dyDescent="0.35">
      <c r="D2592" s="3"/>
      <c r="E2592" s="3"/>
      <c r="F2592" s="3"/>
      <c r="G2592" s="3"/>
      <c r="H2592" s="3"/>
      <c r="I2592" s="3"/>
      <c r="J2592" s="3"/>
    </row>
    <row r="2593" spans="4:10" s="22" customFormat="1" x14ac:dyDescent="0.35">
      <c r="D2593" s="3" t="s">
        <v>502</v>
      </c>
      <c r="E2593" s="3"/>
      <c r="F2593" s="3"/>
      <c r="G2593" s="3"/>
      <c r="H2593" s="3"/>
      <c r="I2593" s="3"/>
      <c r="J2593" s="3"/>
    </row>
    <row r="2594" spans="4:10" s="22" customFormat="1" x14ac:dyDescent="0.35">
      <c r="D2594" s="3"/>
      <c r="E2594" s="3"/>
      <c r="F2594" s="3"/>
      <c r="G2594" s="3"/>
      <c r="H2594" s="3"/>
      <c r="I2594" s="3"/>
      <c r="J2594" s="3"/>
    </row>
    <row r="2595" spans="4:10" s="22" customFormat="1" x14ac:dyDescent="0.35">
      <c r="D2595" s="3" t="s">
        <v>503</v>
      </c>
      <c r="E2595" s="3"/>
      <c r="F2595" s="3"/>
      <c r="G2595" s="3"/>
      <c r="H2595" s="3"/>
      <c r="I2595" s="3"/>
      <c r="J2595" s="3"/>
    </row>
    <row r="2596" spans="4:10" s="22" customFormat="1" x14ac:dyDescent="0.35">
      <c r="D2596" s="82"/>
      <c r="E2596" s="3"/>
      <c r="F2596" s="3"/>
      <c r="G2596" s="3"/>
      <c r="H2596" s="3"/>
      <c r="I2596" s="3"/>
      <c r="J2596" s="3"/>
    </row>
    <row r="2597" spans="4:10" s="22" customFormat="1" x14ac:dyDescent="0.35">
      <c r="D2597" s="82" t="s">
        <v>504</v>
      </c>
      <c r="E2597" s="3"/>
      <c r="F2597" s="3"/>
      <c r="G2597" s="3"/>
      <c r="H2597" s="3"/>
      <c r="I2597" s="3"/>
      <c r="J2597" s="3"/>
    </row>
    <row r="2598" spans="4:10" s="22" customFormat="1" x14ac:dyDescent="0.35">
      <c r="D2598" s="82" t="s">
        <v>505</v>
      </c>
      <c r="E2598" s="3"/>
      <c r="F2598" s="3"/>
      <c r="G2598" s="3"/>
      <c r="H2598" s="3"/>
      <c r="I2598" s="3"/>
      <c r="J2598" s="3"/>
    </row>
    <row r="2599" spans="4:10" s="22" customFormat="1" x14ac:dyDescent="0.35">
      <c r="D2599" s="82" t="s">
        <v>506</v>
      </c>
      <c r="E2599" s="3"/>
      <c r="F2599" s="3"/>
      <c r="G2599" s="3"/>
      <c r="H2599" s="3"/>
      <c r="I2599" s="3"/>
      <c r="J2599" s="3"/>
    </row>
    <row r="2600" spans="4:10" s="22" customFormat="1" x14ac:dyDescent="0.35">
      <c r="D2600" s="82" t="s">
        <v>28</v>
      </c>
      <c r="E2600" s="3"/>
      <c r="F2600" s="3"/>
      <c r="G2600" s="3"/>
      <c r="H2600" s="3"/>
      <c r="I2600" s="3"/>
      <c r="J2600" s="3"/>
    </row>
    <row r="2601" spans="4:10" s="22" customFormat="1" x14ac:dyDescent="0.35">
      <c r="D2601" s="82" t="s">
        <v>507</v>
      </c>
      <c r="E2601" s="3"/>
      <c r="F2601" s="3"/>
      <c r="G2601" s="3"/>
      <c r="H2601" s="3"/>
      <c r="I2601" s="3"/>
      <c r="J2601" s="3"/>
    </row>
    <row r="2602" spans="4:10" s="22" customFormat="1" x14ac:dyDescent="0.35">
      <c r="D2602" s="82" t="s">
        <v>508</v>
      </c>
      <c r="E2602" s="3"/>
      <c r="F2602" s="3"/>
      <c r="G2602" s="3"/>
      <c r="H2602" s="3"/>
      <c r="I2602" s="3"/>
      <c r="J2602" s="3"/>
    </row>
    <row r="2603" spans="4:10" s="22" customFormat="1" x14ac:dyDescent="0.35">
      <c r="D2603" s="82" t="s">
        <v>509</v>
      </c>
      <c r="E2603" s="3"/>
      <c r="F2603" s="3"/>
      <c r="G2603" s="3"/>
      <c r="H2603" s="3"/>
      <c r="I2603" s="3"/>
      <c r="J2603" s="3"/>
    </row>
    <row r="2604" spans="4:10" s="22" customFormat="1" x14ac:dyDescent="0.35">
      <c r="D2604" s="3"/>
      <c r="E2604" s="3"/>
      <c r="F2604" s="3"/>
      <c r="G2604" s="3"/>
      <c r="H2604" s="3"/>
      <c r="I2604" s="3"/>
      <c r="J2604" s="3"/>
    </row>
    <row r="2605" spans="4:10" s="22" customFormat="1" x14ac:dyDescent="0.35">
      <c r="D2605" s="3" t="s">
        <v>510</v>
      </c>
      <c r="E2605" s="3"/>
      <c r="F2605" s="3"/>
      <c r="G2605" s="3"/>
      <c r="H2605" s="3"/>
      <c r="I2605" s="3"/>
      <c r="J2605" s="3"/>
    </row>
    <row r="2606" spans="4:10" s="22" customFormat="1" x14ac:dyDescent="0.35">
      <c r="D2606" s="3"/>
      <c r="E2606" s="3"/>
      <c r="F2606" s="3"/>
      <c r="G2606" s="3"/>
      <c r="H2606" s="3"/>
      <c r="I2606" s="3"/>
      <c r="J2606" s="3"/>
    </row>
    <row r="2607" spans="4:10" s="22" customFormat="1" x14ac:dyDescent="0.35">
      <c r="D2607" s="3" t="s">
        <v>511</v>
      </c>
      <c r="E2607" s="3"/>
      <c r="F2607" s="3"/>
      <c r="G2607" s="3"/>
      <c r="H2607" s="3"/>
      <c r="I2607" s="3"/>
      <c r="J2607" s="3"/>
    </row>
    <row r="2608" spans="4:10" s="22" customFormat="1" x14ac:dyDescent="0.35">
      <c r="D2608" s="82"/>
      <c r="E2608" s="3"/>
      <c r="F2608" s="3"/>
      <c r="G2608" s="3"/>
      <c r="H2608" s="3"/>
      <c r="I2608" s="3"/>
      <c r="J2608" s="3"/>
    </row>
    <row r="2609" spans="4:10" s="22" customFormat="1" x14ac:dyDescent="0.35">
      <c r="D2609" s="93" t="s">
        <v>512</v>
      </c>
      <c r="E2609" s="3"/>
      <c r="F2609" s="3"/>
      <c r="G2609" s="3"/>
      <c r="H2609" s="3"/>
      <c r="I2609" s="3"/>
      <c r="J2609" s="3"/>
    </row>
    <row r="2610" spans="4:10" s="22" customFormat="1" x14ac:dyDescent="0.35">
      <c r="D2610" s="82" t="s">
        <v>513</v>
      </c>
      <c r="E2610" s="3"/>
      <c r="F2610" s="3"/>
      <c r="G2610" s="3"/>
      <c r="H2610" s="3"/>
      <c r="I2610" s="3"/>
      <c r="J2610" s="3"/>
    </row>
    <row r="2611" spans="4:10" s="22" customFormat="1" x14ac:dyDescent="0.35">
      <c r="D2611" s="82" t="s">
        <v>616</v>
      </c>
      <c r="E2611" s="3"/>
      <c r="F2611" s="3"/>
      <c r="G2611" s="3"/>
      <c r="H2611" s="3"/>
      <c r="I2611" s="3"/>
      <c r="J2611" s="3"/>
    </row>
    <row r="2612" spans="4:10" s="22" customFormat="1" x14ac:dyDescent="0.35">
      <c r="D2612" s="3"/>
      <c r="E2612" s="3"/>
      <c r="F2612" s="3"/>
      <c r="G2612" s="3"/>
      <c r="H2612" s="3"/>
      <c r="I2612" s="3"/>
      <c r="J2612" s="3"/>
    </row>
    <row r="2613" spans="4:10" s="22" customFormat="1" x14ac:dyDescent="0.35">
      <c r="D2613" s="3" t="s">
        <v>514</v>
      </c>
      <c r="E2613" s="3"/>
      <c r="F2613" s="3"/>
      <c r="G2613" s="3"/>
      <c r="H2613" s="3"/>
      <c r="I2613" s="3"/>
      <c r="J2613" s="3"/>
    </row>
    <row r="2614" spans="4:10" s="22" customFormat="1" x14ac:dyDescent="0.35">
      <c r="D2614" s="3"/>
      <c r="E2614" s="3"/>
      <c r="F2614" s="3"/>
      <c r="G2614" s="3"/>
      <c r="H2614" s="3"/>
      <c r="I2614" s="3"/>
      <c r="J2614" s="3"/>
    </row>
    <row r="2615" spans="4:10" s="22" customFormat="1" x14ac:dyDescent="0.35">
      <c r="D2615" s="3"/>
      <c r="E2615" s="3"/>
      <c r="F2615" s="3"/>
      <c r="G2615" s="3"/>
      <c r="H2615" s="3"/>
      <c r="I2615" s="3"/>
      <c r="J2615" s="3"/>
    </row>
    <row r="2616" spans="4:10" s="22" customFormat="1" x14ac:dyDescent="0.35">
      <c r="D2616" s="3"/>
      <c r="E2616" s="3"/>
      <c r="F2616" s="3"/>
      <c r="G2616" s="3"/>
      <c r="H2616" s="3"/>
      <c r="I2616" s="3"/>
      <c r="J2616" s="3"/>
    </row>
    <row r="2617" spans="4:10" s="22" customFormat="1" ht="17" x14ac:dyDescent="0.35">
      <c r="D2617" s="92" t="s">
        <v>515</v>
      </c>
      <c r="E2617" s="3"/>
      <c r="F2617" s="3"/>
      <c r="G2617" s="3"/>
      <c r="H2617" s="3"/>
      <c r="I2617" s="3"/>
      <c r="J2617" s="3"/>
    </row>
    <row r="2618" spans="4:10" s="22" customFormat="1" x14ac:dyDescent="0.35">
      <c r="D2618" s="3"/>
      <c r="E2618" s="3"/>
      <c r="F2618" s="3"/>
      <c r="G2618" s="3"/>
      <c r="H2618" s="3"/>
      <c r="I2618" s="3"/>
      <c r="J2618" s="3"/>
    </row>
    <row r="2619" spans="4:10" s="22" customFormat="1" x14ac:dyDescent="0.35">
      <c r="D2619" s="3" t="s">
        <v>617</v>
      </c>
      <c r="E2619" s="3"/>
      <c r="F2619" s="3"/>
      <c r="G2619" s="3"/>
      <c r="H2619" s="3"/>
      <c r="I2619" s="3"/>
      <c r="J2619" s="3"/>
    </row>
    <row r="2620" spans="4:10" s="22" customFormat="1" x14ac:dyDescent="0.35">
      <c r="D2620" s="3"/>
      <c r="E2620" s="3"/>
      <c r="F2620" s="3"/>
      <c r="G2620" s="3"/>
      <c r="H2620" s="3"/>
      <c r="I2620" s="3"/>
      <c r="J2620" s="3"/>
    </row>
    <row r="2621" spans="4:10" s="22" customFormat="1" x14ac:dyDescent="0.35">
      <c r="D2621" s="3" t="s">
        <v>516</v>
      </c>
      <c r="E2621" s="3"/>
      <c r="F2621" s="3"/>
      <c r="G2621" s="3"/>
      <c r="H2621" s="3"/>
      <c r="I2621" s="3"/>
      <c r="J2621" s="3"/>
    </row>
    <row r="2622" spans="4:10" s="22" customFormat="1" x14ac:dyDescent="0.35">
      <c r="D2622" s="3"/>
      <c r="E2622" s="3"/>
      <c r="F2622" s="3"/>
      <c r="G2622" s="3"/>
      <c r="H2622" s="3"/>
      <c r="I2622" s="3"/>
      <c r="J2622" s="3"/>
    </row>
    <row r="2623" spans="4:10" s="22" customFormat="1" x14ac:dyDescent="0.35">
      <c r="D2623" s="3" t="s">
        <v>618</v>
      </c>
      <c r="E2623" s="3"/>
      <c r="F2623" s="3"/>
      <c r="G2623" s="3"/>
      <c r="H2623" s="3"/>
      <c r="I2623" s="3"/>
      <c r="J2623" s="3"/>
    </row>
    <row r="2624" spans="4:10" s="22" customFormat="1" x14ac:dyDescent="0.35">
      <c r="D2624" s="3"/>
      <c r="E2624" s="3"/>
      <c r="F2624" s="3"/>
      <c r="G2624" s="3"/>
      <c r="H2624" s="3"/>
      <c r="I2624" s="3"/>
      <c r="J2624" s="3"/>
    </row>
    <row r="2625" spans="4:10" s="22" customFormat="1" x14ac:dyDescent="0.35">
      <c r="D2625" s="3"/>
      <c r="E2625" s="3"/>
      <c r="F2625" s="3"/>
      <c r="G2625" s="3"/>
      <c r="H2625" s="3"/>
      <c r="I2625" s="3"/>
      <c r="J2625" s="3"/>
    </row>
    <row r="2626" spans="4:10" s="22" customFormat="1" x14ac:dyDescent="0.35">
      <c r="D2626" s="3"/>
      <c r="E2626" s="3"/>
      <c r="F2626" s="3"/>
      <c r="G2626" s="3"/>
      <c r="H2626" s="3"/>
      <c r="I2626" s="3"/>
      <c r="J2626" s="3"/>
    </row>
    <row r="2627" spans="4:10" s="22" customFormat="1" x14ac:dyDescent="0.35">
      <c r="D2627" s="3"/>
      <c r="E2627" s="3"/>
      <c r="F2627" s="3"/>
      <c r="G2627" s="3"/>
      <c r="H2627" s="3"/>
      <c r="I2627" s="3"/>
      <c r="J2627" s="3"/>
    </row>
    <row r="2628" spans="4:10" s="22" customFormat="1" x14ac:dyDescent="0.35">
      <c r="D2628" s="3"/>
      <c r="E2628" s="3"/>
      <c r="F2628" s="3"/>
      <c r="G2628" s="3"/>
      <c r="H2628" s="3"/>
      <c r="I2628" s="3"/>
      <c r="J2628" s="3"/>
    </row>
    <row r="2629" spans="4:10" s="22" customFormat="1" x14ac:dyDescent="0.35">
      <c r="D2629" s="3"/>
      <c r="E2629" s="3"/>
      <c r="F2629" s="3"/>
      <c r="G2629" s="3"/>
      <c r="H2629" s="3"/>
      <c r="I2629" s="3"/>
      <c r="J2629" s="3"/>
    </row>
    <row r="2630" spans="4:10" s="22" customFormat="1" x14ac:dyDescent="0.35">
      <c r="D2630" s="3"/>
      <c r="E2630" s="3"/>
      <c r="F2630" s="3"/>
      <c r="G2630" s="3"/>
      <c r="H2630" s="3"/>
      <c r="I2630" s="3"/>
      <c r="J2630" s="3"/>
    </row>
    <row r="2631" spans="4:10" s="22" customFormat="1" x14ac:dyDescent="0.35">
      <c r="D2631" s="3"/>
      <c r="E2631" s="3"/>
      <c r="F2631" s="3"/>
      <c r="G2631" s="3"/>
      <c r="H2631" s="3"/>
      <c r="I2631" s="3"/>
      <c r="J2631" s="3"/>
    </row>
    <row r="2632" spans="4:10" s="22" customFormat="1" x14ac:dyDescent="0.35">
      <c r="D2632" s="3"/>
      <c r="E2632" s="3"/>
      <c r="F2632" s="3"/>
      <c r="G2632" s="3"/>
      <c r="H2632" s="3"/>
      <c r="I2632" s="3"/>
      <c r="J2632" s="3"/>
    </row>
    <row r="2633" spans="4:10" s="22" customFormat="1" x14ac:dyDescent="0.35">
      <c r="D2633" s="3"/>
      <c r="E2633" s="3"/>
      <c r="F2633" s="3"/>
      <c r="G2633" s="3"/>
      <c r="H2633" s="3"/>
      <c r="I2633" s="3"/>
      <c r="J2633" s="3"/>
    </row>
    <row r="2634" spans="4:10" s="22" customFormat="1" x14ac:dyDescent="0.35">
      <c r="D2634" s="3"/>
      <c r="E2634" s="3"/>
      <c r="F2634" s="3"/>
      <c r="G2634" s="3"/>
      <c r="H2634" s="3"/>
      <c r="I2634" s="3"/>
      <c r="J2634" s="3"/>
    </row>
    <row r="2635" spans="4:10" s="22" customFormat="1" x14ac:dyDescent="0.35">
      <c r="D2635" s="3"/>
      <c r="E2635" s="3"/>
      <c r="F2635" s="3"/>
      <c r="G2635" s="3"/>
      <c r="H2635" s="3"/>
      <c r="I2635" s="3"/>
      <c r="J2635" s="3"/>
    </row>
    <row r="2636" spans="4:10" s="22" customFormat="1" x14ac:dyDescent="0.35">
      <c r="D2636" s="3"/>
      <c r="E2636" s="3"/>
      <c r="F2636" s="3"/>
      <c r="G2636" s="3"/>
      <c r="H2636" s="3"/>
      <c r="I2636" s="3"/>
      <c r="J2636" s="3"/>
    </row>
    <row r="2637" spans="4:10" s="22" customFormat="1" x14ac:dyDescent="0.35">
      <c r="D2637" s="3"/>
      <c r="E2637" s="3"/>
      <c r="F2637" s="3"/>
      <c r="G2637" s="3"/>
      <c r="H2637" s="3"/>
      <c r="I2637" s="3"/>
      <c r="J2637" s="3"/>
    </row>
    <row r="2638" spans="4:10" s="22" customFormat="1" x14ac:dyDescent="0.35">
      <c r="D2638" s="3"/>
      <c r="E2638" s="3"/>
      <c r="F2638" s="3"/>
      <c r="G2638" s="3"/>
      <c r="H2638" s="3"/>
      <c r="I2638" s="3"/>
      <c r="J2638" s="3"/>
    </row>
    <row r="2639" spans="4:10" s="22" customFormat="1" x14ac:dyDescent="0.35">
      <c r="D2639" s="3"/>
      <c r="E2639" s="3"/>
      <c r="F2639" s="3"/>
      <c r="G2639" s="3"/>
      <c r="H2639" s="3"/>
      <c r="I2639" s="3"/>
      <c r="J2639" s="3"/>
    </row>
    <row r="2640" spans="4:10" s="22" customFormat="1" x14ac:dyDescent="0.35">
      <c r="D2640" s="3"/>
      <c r="E2640" s="3"/>
      <c r="F2640" s="3"/>
      <c r="G2640" s="3"/>
      <c r="H2640" s="3"/>
      <c r="I2640" s="3"/>
      <c r="J2640" s="3"/>
    </row>
    <row r="2641" spans="4:10" s="22" customFormat="1" x14ac:dyDescent="0.35">
      <c r="D2641" s="3"/>
      <c r="E2641" s="3"/>
      <c r="F2641" s="3"/>
      <c r="G2641" s="3"/>
      <c r="H2641" s="3"/>
      <c r="I2641" s="3"/>
      <c r="J2641" s="3"/>
    </row>
    <row r="2642" spans="4:10" s="22" customFormat="1" x14ac:dyDescent="0.35">
      <c r="D2642" s="3"/>
      <c r="E2642" s="3"/>
      <c r="F2642" s="3"/>
      <c r="G2642" s="3"/>
      <c r="H2642" s="3"/>
      <c r="I2642" s="3"/>
      <c r="J2642" s="3"/>
    </row>
    <row r="2643" spans="4:10" s="22" customFormat="1" x14ac:dyDescent="0.35">
      <c r="D2643" s="3"/>
      <c r="E2643" s="3"/>
      <c r="F2643" s="3"/>
      <c r="G2643" s="3"/>
      <c r="H2643" s="3"/>
      <c r="I2643" s="3"/>
      <c r="J2643" s="3"/>
    </row>
    <row r="2644" spans="4:10" s="22" customFormat="1" x14ac:dyDescent="0.35">
      <c r="D2644" s="3"/>
      <c r="E2644" s="3"/>
      <c r="F2644" s="3"/>
      <c r="G2644" s="3"/>
      <c r="H2644" s="3"/>
      <c r="I2644" s="3"/>
      <c r="J2644" s="3"/>
    </row>
    <row r="2645" spans="4:10" s="22" customFormat="1" x14ac:dyDescent="0.35">
      <c r="D2645" s="3"/>
      <c r="E2645" s="3"/>
      <c r="F2645" s="3"/>
      <c r="G2645" s="3"/>
      <c r="H2645" s="3"/>
      <c r="I2645" s="3"/>
      <c r="J2645" s="3"/>
    </row>
    <row r="2646" spans="4:10" s="22" customFormat="1" x14ac:dyDescent="0.35">
      <c r="D2646" s="3"/>
      <c r="E2646" s="3"/>
      <c r="F2646" s="3"/>
      <c r="G2646" s="3"/>
      <c r="H2646" s="3"/>
      <c r="I2646" s="3"/>
      <c r="J2646" s="3"/>
    </row>
    <row r="2647" spans="4:10" s="22" customFormat="1" x14ac:dyDescent="0.35">
      <c r="D2647" s="3"/>
      <c r="E2647" s="3"/>
      <c r="F2647" s="3"/>
      <c r="G2647" s="3"/>
      <c r="H2647" s="3"/>
      <c r="I2647" s="3"/>
      <c r="J2647" s="3"/>
    </row>
    <row r="2648" spans="4:10" s="22" customFormat="1" x14ac:dyDescent="0.35">
      <c r="D2648" s="3"/>
      <c r="E2648" s="3"/>
      <c r="F2648" s="3"/>
      <c r="G2648" s="3"/>
      <c r="H2648" s="3"/>
      <c r="I2648" s="3"/>
      <c r="J2648" s="3"/>
    </row>
    <row r="2649" spans="4:10" s="22" customFormat="1" x14ac:dyDescent="0.35">
      <c r="D2649" s="3"/>
      <c r="E2649" s="3"/>
      <c r="F2649" s="3"/>
      <c r="G2649" s="3"/>
      <c r="H2649" s="3"/>
      <c r="I2649" s="3"/>
      <c r="J2649" s="3"/>
    </row>
    <row r="2650" spans="4:10" s="22" customFormat="1" x14ac:dyDescent="0.35">
      <c r="D2650" s="3"/>
      <c r="E2650" s="3"/>
      <c r="F2650" s="3"/>
      <c r="G2650" s="3"/>
      <c r="H2650" s="3"/>
      <c r="I2650" s="3"/>
      <c r="J2650" s="3"/>
    </row>
    <row r="2651" spans="4:10" s="22" customFormat="1" x14ac:dyDescent="0.35">
      <c r="D2651" s="3"/>
      <c r="E2651" s="3"/>
      <c r="F2651" s="3"/>
      <c r="G2651" s="3"/>
      <c r="H2651" s="3"/>
      <c r="I2651" s="3"/>
      <c r="J2651" s="3"/>
    </row>
    <row r="2652" spans="4:10" s="22" customFormat="1" x14ac:dyDescent="0.35">
      <c r="D2652" s="3"/>
      <c r="E2652" s="3"/>
      <c r="F2652" s="3"/>
      <c r="G2652" s="3"/>
      <c r="H2652" s="3"/>
      <c r="I2652" s="3"/>
      <c r="J2652" s="3"/>
    </row>
    <row r="2653" spans="4:10" s="22" customFormat="1" x14ac:dyDescent="0.35">
      <c r="D2653" s="3"/>
      <c r="E2653" s="3"/>
      <c r="F2653" s="3"/>
      <c r="G2653" s="3"/>
      <c r="H2653" s="3"/>
      <c r="I2653" s="3"/>
      <c r="J2653" s="3"/>
    </row>
    <row r="2654" spans="4:10" s="22" customFormat="1" x14ac:dyDescent="0.35">
      <c r="D2654" s="3"/>
      <c r="E2654" s="3"/>
      <c r="F2654" s="3"/>
      <c r="G2654" s="3"/>
      <c r="H2654" s="3"/>
      <c r="I2654" s="3"/>
      <c r="J2654" s="3"/>
    </row>
    <row r="2655" spans="4:10" s="22" customFormat="1" x14ac:dyDescent="0.35">
      <c r="D2655" s="3"/>
      <c r="E2655" s="3"/>
      <c r="F2655" s="3"/>
      <c r="G2655" s="3"/>
      <c r="H2655" s="3"/>
      <c r="I2655" s="3"/>
      <c r="J2655" s="3"/>
    </row>
    <row r="2656" spans="4:10" s="22" customFormat="1" x14ac:dyDescent="0.35">
      <c r="D2656" s="3"/>
      <c r="E2656" s="3"/>
      <c r="F2656" s="3"/>
      <c r="G2656" s="3"/>
      <c r="H2656" s="3"/>
      <c r="I2656" s="3"/>
      <c r="J2656" s="3"/>
    </row>
    <row r="2657" spans="4:10" s="22" customFormat="1" x14ac:dyDescent="0.35">
      <c r="D2657" s="3"/>
      <c r="E2657" s="3"/>
      <c r="F2657" s="3"/>
      <c r="G2657" s="3"/>
      <c r="H2657" s="3"/>
      <c r="I2657" s="3"/>
      <c r="J2657" s="3"/>
    </row>
    <row r="2658" spans="4:10" s="22" customFormat="1" x14ac:dyDescent="0.35">
      <c r="D2658" s="3"/>
      <c r="E2658" s="3"/>
      <c r="F2658" s="3"/>
      <c r="G2658" s="3"/>
      <c r="H2658" s="3"/>
      <c r="I2658" s="3"/>
      <c r="J2658" s="3"/>
    </row>
    <row r="2659" spans="4:10" s="22" customFormat="1" x14ac:dyDescent="0.35">
      <c r="D2659" s="3"/>
      <c r="E2659" s="3"/>
      <c r="F2659" s="3"/>
      <c r="G2659" s="3"/>
      <c r="H2659" s="3"/>
      <c r="I2659" s="3"/>
      <c r="J2659" s="3"/>
    </row>
    <row r="2660" spans="4:10" s="22" customFormat="1" x14ac:dyDescent="0.35">
      <c r="D2660" s="3"/>
      <c r="E2660" s="3"/>
      <c r="F2660" s="3"/>
      <c r="G2660" s="3"/>
      <c r="H2660" s="3"/>
      <c r="I2660" s="3"/>
      <c r="J2660" s="3"/>
    </row>
    <row r="2661" spans="4:10" s="22" customFormat="1" x14ac:dyDescent="0.35">
      <c r="D2661" s="3"/>
      <c r="E2661" s="3"/>
      <c r="F2661" s="3"/>
      <c r="G2661" s="3"/>
      <c r="H2661" s="3"/>
      <c r="I2661" s="3"/>
      <c r="J2661" s="3"/>
    </row>
    <row r="2662" spans="4:10" s="22" customFormat="1" x14ac:dyDescent="0.35">
      <c r="D2662" s="3"/>
      <c r="E2662" s="3"/>
      <c r="F2662" s="3"/>
      <c r="G2662" s="3"/>
      <c r="H2662" s="3"/>
      <c r="I2662" s="3"/>
      <c r="J2662" s="3"/>
    </row>
    <row r="2663" spans="4:10" s="22" customFormat="1" x14ac:dyDescent="0.35">
      <c r="D2663" s="3" t="s">
        <v>517</v>
      </c>
      <c r="E2663" s="3"/>
      <c r="F2663" s="3"/>
      <c r="G2663" s="3"/>
      <c r="H2663" s="3"/>
      <c r="I2663" s="3"/>
      <c r="J2663" s="3"/>
    </row>
    <row r="2664" spans="4:10" s="22" customFormat="1" x14ac:dyDescent="0.35">
      <c r="D2664" s="3"/>
      <c r="E2664" s="3"/>
      <c r="F2664" s="3"/>
      <c r="G2664" s="3"/>
      <c r="H2664" s="3"/>
      <c r="I2664" s="3"/>
      <c r="J2664" s="3"/>
    </row>
    <row r="2665" spans="4:10" s="22" customFormat="1" x14ac:dyDescent="0.35">
      <c r="D2665" s="3"/>
      <c r="E2665" s="3"/>
      <c r="F2665" s="3"/>
      <c r="G2665" s="3"/>
      <c r="H2665" s="3"/>
      <c r="I2665" s="3"/>
      <c r="J2665" s="3"/>
    </row>
    <row r="2666" spans="4:10" s="22" customFormat="1" x14ac:dyDescent="0.35">
      <c r="D2666" s="3"/>
      <c r="E2666" s="3"/>
      <c r="F2666" s="3"/>
      <c r="G2666" s="3"/>
      <c r="H2666" s="3"/>
      <c r="I2666" s="3"/>
      <c r="J2666" s="3"/>
    </row>
    <row r="2667" spans="4:10" s="22" customFormat="1" x14ac:dyDescent="0.35">
      <c r="D2667" s="3"/>
      <c r="E2667" s="3"/>
      <c r="F2667" s="3"/>
      <c r="G2667" s="3"/>
      <c r="H2667" s="3"/>
      <c r="I2667" s="3"/>
      <c r="J2667" s="3"/>
    </row>
    <row r="2668" spans="4:10" s="22" customFormat="1" x14ac:dyDescent="0.35">
      <c r="D2668" s="3"/>
      <c r="E2668" s="3"/>
      <c r="F2668" s="3"/>
      <c r="G2668" s="3"/>
      <c r="H2668" s="3"/>
      <c r="I2668" s="3"/>
      <c r="J2668" s="3"/>
    </row>
    <row r="2669" spans="4:10" s="22" customFormat="1" x14ac:dyDescent="0.35">
      <c r="D2669" s="3"/>
      <c r="E2669" s="3"/>
      <c r="F2669" s="3"/>
      <c r="G2669" s="3"/>
      <c r="H2669" s="3"/>
      <c r="I2669" s="3"/>
      <c r="J2669" s="3"/>
    </row>
    <row r="2670" spans="4:10" s="22" customFormat="1" x14ac:dyDescent="0.35">
      <c r="D2670" s="3"/>
      <c r="E2670" s="3"/>
      <c r="F2670" s="3"/>
      <c r="G2670" s="3"/>
      <c r="H2670" s="3"/>
      <c r="I2670" s="3"/>
      <c r="J2670" s="3"/>
    </row>
    <row r="2671" spans="4:10" s="22" customFormat="1" x14ac:dyDescent="0.35">
      <c r="D2671" s="3"/>
      <c r="E2671" s="3"/>
      <c r="F2671" s="3"/>
      <c r="G2671" s="3"/>
      <c r="H2671" s="3"/>
      <c r="I2671" s="3"/>
      <c r="J2671" s="3"/>
    </row>
    <row r="2672" spans="4:10" s="22" customFormat="1" x14ac:dyDescent="0.35">
      <c r="D2672" s="3"/>
      <c r="E2672" s="3"/>
      <c r="F2672" s="3"/>
      <c r="G2672" s="3"/>
      <c r="H2672" s="3"/>
      <c r="I2672" s="3"/>
      <c r="J2672" s="3"/>
    </row>
    <row r="2673" spans="4:10" s="22" customFormat="1" x14ac:dyDescent="0.35">
      <c r="D2673" s="3"/>
      <c r="E2673" s="3"/>
      <c r="F2673" s="3"/>
      <c r="G2673" s="3"/>
      <c r="H2673" s="3"/>
      <c r="I2673" s="3"/>
      <c r="J2673" s="3"/>
    </row>
    <row r="2674" spans="4:10" s="22" customFormat="1" x14ac:dyDescent="0.35">
      <c r="D2674" s="3"/>
      <c r="E2674" s="3"/>
      <c r="F2674" s="3"/>
      <c r="G2674" s="3"/>
      <c r="H2674" s="3"/>
      <c r="I2674" s="3"/>
      <c r="J2674" s="3"/>
    </row>
    <row r="2675" spans="4:10" s="22" customFormat="1" x14ac:dyDescent="0.35">
      <c r="D2675" s="3"/>
      <c r="E2675" s="3"/>
      <c r="F2675" s="3"/>
      <c r="G2675" s="3"/>
      <c r="H2675" s="3"/>
      <c r="I2675" s="3"/>
      <c r="J2675" s="3"/>
    </row>
    <row r="2676" spans="4:10" s="22" customFormat="1" x14ac:dyDescent="0.35">
      <c r="D2676" s="3"/>
      <c r="E2676" s="3"/>
      <c r="F2676" s="3"/>
      <c r="G2676" s="3"/>
      <c r="H2676" s="3"/>
      <c r="I2676" s="3"/>
      <c r="J2676" s="3"/>
    </row>
    <row r="2677" spans="4:10" s="22" customFormat="1" x14ac:dyDescent="0.35">
      <c r="D2677" s="3"/>
      <c r="E2677" s="3"/>
      <c r="F2677" s="3"/>
      <c r="G2677" s="3"/>
      <c r="H2677" s="3"/>
      <c r="I2677" s="3"/>
      <c r="J2677" s="3"/>
    </row>
    <row r="2678" spans="4:10" s="22" customFormat="1" x14ac:dyDescent="0.35">
      <c r="D2678" s="3"/>
      <c r="E2678" s="3"/>
      <c r="F2678" s="3"/>
      <c r="G2678" s="3"/>
      <c r="H2678" s="3"/>
      <c r="I2678" s="3"/>
      <c r="J2678" s="3"/>
    </row>
    <row r="2679" spans="4:10" s="22" customFormat="1" x14ac:dyDescent="0.35">
      <c r="D2679" s="3"/>
      <c r="E2679" s="3"/>
      <c r="F2679" s="3"/>
      <c r="G2679" s="3"/>
      <c r="H2679" s="3"/>
      <c r="I2679" s="3"/>
      <c r="J2679" s="3"/>
    </row>
    <row r="2680" spans="4:10" s="22" customFormat="1" x14ac:dyDescent="0.35">
      <c r="D2680" s="3"/>
      <c r="E2680" s="3"/>
      <c r="F2680" s="3"/>
      <c r="G2680" s="3"/>
      <c r="H2680" s="3"/>
      <c r="I2680" s="3"/>
      <c r="J2680" s="3"/>
    </row>
    <row r="2681" spans="4:10" s="22" customFormat="1" x14ac:dyDescent="0.35">
      <c r="D2681" s="3"/>
      <c r="E2681" s="3"/>
      <c r="F2681" s="3"/>
      <c r="G2681" s="3"/>
      <c r="H2681" s="3"/>
      <c r="I2681" s="3"/>
      <c r="J2681" s="3"/>
    </row>
    <row r="2682" spans="4:10" s="22" customFormat="1" x14ac:dyDescent="0.35">
      <c r="D2682" s="3"/>
      <c r="E2682" s="3"/>
      <c r="F2682" s="3"/>
      <c r="G2682" s="3"/>
      <c r="H2682" s="3"/>
      <c r="I2682" s="3"/>
      <c r="J2682" s="3"/>
    </row>
    <row r="2683" spans="4:10" s="22" customFormat="1" x14ac:dyDescent="0.35">
      <c r="D2683" s="3"/>
      <c r="E2683" s="3"/>
      <c r="F2683" s="3"/>
      <c r="G2683" s="3"/>
      <c r="H2683" s="3"/>
      <c r="I2683" s="3"/>
      <c r="J2683" s="3"/>
    </row>
    <row r="2684" spans="4:10" s="22" customFormat="1" x14ac:dyDescent="0.35">
      <c r="D2684" s="3"/>
      <c r="E2684" s="3"/>
      <c r="F2684" s="3"/>
      <c r="G2684" s="3"/>
      <c r="H2684" s="3"/>
      <c r="I2684" s="3"/>
      <c r="J2684" s="3"/>
    </row>
    <row r="2685" spans="4:10" s="22" customFormat="1" x14ac:dyDescent="0.35">
      <c r="D2685" s="3"/>
      <c r="E2685" s="3"/>
      <c r="F2685" s="3"/>
      <c r="G2685" s="3"/>
      <c r="H2685" s="3"/>
      <c r="I2685" s="3"/>
      <c r="J2685" s="3"/>
    </row>
    <row r="2686" spans="4:10" s="22" customFormat="1" x14ac:dyDescent="0.35">
      <c r="D2686" s="3"/>
      <c r="E2686" s="3"/>
      <c r="F2686" s="3"/>
      <c r="G2686" s="3"/>
      <c r="H2686" s="3"/>
      <c r="I2686" s="3"/>
      <c r="J2686" s="3"/>
    </row>
    <row r="2687" spans="4:10" s="22" customFormat="1" x14ac:dyDescent="0.35">
      <c r="D2687" s="3"/>
      <c r="E2687" s="3"/>
      <c r="F2687" s="3"/>
      <c r="G2687" s="3"/>
      <c r="H2687" s="3"/>
      <c r="I2687" s="3"/>
      <c r="J2687" s="3"/>
    </row>
    <row r="2688" spans="4:10" s="22" customFormat="1" x14ac:dyDescent="0.35">
      <c r="D2688" s="3"/>
      <c r="E2688" s="3"/>
      <c r="F2688" s="3"/>
      <c r="G2688" s="3"/>
      <c r="H2688" s="3"/>
      <c r="I2688" s="3"/>
      <c r="J2688" s="3"/>
    </row>
    <row r="2689" spans="4:10" s="22" customFormat="1" x14ac:dyDescent="0.35">
      <c r="D2689" s="3"/>
      <c r="E2689" s="3"/>
      <c r="F2689" s="3"/>
      <c r="G2689" s="3"/>
      <c r="H2689" s="3"/>
      <c r="I2689" s="3"/>
      <c r="J2689" s="3"/>
    </row>
    <row r="2690" spans="4:10" s="22" customFormat="1" x14ac:dyDescent="0.35">
      <c r="D2690" s="3"/>
      <c r="E2690" s="3"/>
      <c r="F2690" s="3"/>
      <c r="G2690" s="3"/>
      <c r="H2690" s="3"/>
      <c r="I2690" s="3"/>
      <c r="J2690" s="3"/>
    </row>
    <row r="2691" spans="4:10" s="22" customFormat="1" x14ac:dyDescent="0.35">
      <c r="D2691" s="3"/>
      <c r="E2691" s="3"/>
      <c r="F2691" s="3"/>
      <c r="G2691" s="3"/>
      <c r="H2691" s="3"/>
      <c r="I2691" s="3"/>
      <c r="J2691" s="3"/>
    </row>
    <row r="2692" spans="4:10" s="22" customFormat="1" x14ac:dyDescent="0.35">
      <c r="D2692" s="3"/>
      <c r="E2692" s="3"/>
      <c r="F2692" s="3"/>
      <c r="G2692" s="3"/>
      <c r="H2692" s="3"/>
      <c r="I2692" s="3"/>
      <c r="J2692" s="3"/>
    </row>
    <row r="2693" spans="4:10" s="22" customFormat="1" x14ac:dyDescent="0.35">
      <c r="D2693" s="3"/>
      <c r="E2693" s="3"/>
      <c r="F2693" s="3"/>
      <c r="G2693" s="3"/>
      <c r="H2693" s="3"/>
      <c r="I2693" s="3"/>
      <c r="J2693" s="3"/>
    </row>
    <row r="2694" spans="4:10" s="22" customFormat="1" x14ac:dyDescent="0.35">
      <c r="D2694" s="3"/>
      <c r="E2694" s="3"/>
      <c r="F2694" s="3"/>
      <c r="G2694" s="3"/>
      <c r="H2694" s="3"/>
      <c r="I2694" s="3"/>
      <c r="J2694" s="3"/>
    </row>
    <row r="2695" spans="4:10" s="22" customFormat="1" x14ac:dyDescent="0.35">
      <c r="D2695" s="3"/>
      <c r="E2695" s="3"/>
      <c r="F2695" s="3"/>
      <c r="G2695" s="3"/>
      <c r="H2695" s="3"/>
      <c r="I2695" s="3"/>
      <c r="J2695" s="3"/>
    </row>
    <row r="2696" spans="4:10" s="22" customFormat="1" x14ac:dyDescent="0.35">
      <c r="D2696" s="3"/>
      <c r="E2696" s="3"/>
      <c r="F2696" s="3"/>
      <c r="G2696" s="3"/>
      <c r="H2696" s="3"/>
      <c r="I2696" s="3"/>
      <c r="J2696" s="3"/>
    </row>
    <row r="2697" spans="4:10" s="22" customFormat="1" x14ac:dyDescent="0.35">
      <c r="D2697" s="3"/>
      <c r="E2697" s="3"/>
      <c r="F2697" s="3"/>
      <c r="G2697" s="3"/>
      <c r="H2697" s="3"/>
      <c r="I2697" s="3"/>
      <c r="J2697" s="3"/>
    </row>
    <row r="2698" spans="4:10" s="22" customFormat="1" x14ac:dyDescent="0.35">
      <c r="D2698" s="3"/>
      <c r="E2698" s="3"/>
      <c r="F2698" s="3"/>
      <c r="G2698" s="3"/>
      <c r="H2698" s="3"/>
      <c r="I2698" s="3"/>
      <c r="J2698" s="3"/>
    </row>
    <row r="2699" spans="4:10" s="22" customFormat="1" x14ac:dyDescent="0.35">
      <c r="D2699" s="3"/>
      <c r="E2699" s="3"/>
      <c r="F2699" s="3"/>
      <c r="G2699" s="3"/>
      <c r="H2699" s="3"/>
      <c r="I2699" s="3"/>
      <c r="J2699" s="3"/>
    </row>
    <row r="2700" spans="4:10" s="22" customFormat="1" x14ac:dyDescent="0.35">
      <c r="D2700" s="3"/>
      <c r="E2700" s="3"/>
      <c r="F2700" s="3"/>
      <c r="G2700" s="3"/>
      <c r="H2700" s="3"/>
      <c r="I2700" s="3"/>
      <c r="J2700" s="3"/>
    </row>
    <row r="2701" spans="4:10" s="22" customFormat="1" x14ac:dyDescent="0.35">
      <c r="D2701" s="3"/>
      <c r="E2701" s="3"/>
      <c r="F2701" s="3"/>
      <c r="G2701" s="3"/>
      <c r="H2701" s="3"/>
      <c r="I2701" s="3"/>
      <c r="J2701" s="3"/>
    </row>
    <row r="2702" spans="4:10" s="22" customFormat="1" x14ac:dyDescent="0.35">
      <c r="D2702" s="3"/>
      <c r="E2702" s="3"/>
      <c r="F2702" s="3"/>
      <c r="G2702" s="3"/>
      <c r="H2702" s="3"/>
      <c r="I2702" s="3"/>
      <c r="J2702" s="3"/>
    </row>
    <row r="2703" spans="4:10" s="22" customFormat="1" x14ac:dyDescent="0.35">
      <c r="D2703" s="3"/>
      <c r="E2703" s="3"/>
      <c r="F2703" s="3"/>
      <c r="G2703" s="3"/>
      <c r="H2703" s="3"/>
      <c r="I2703" s="3"/>
      <c r="J2703" s="3"/>
    </row>
    <row r="2704" spans="4:10" s="22" customFormat="1" x14ac:dyDescent="0.35">
      <c r="D2704" s="3"/>
      <c r="E2704" s="3"/>
      <c r="F2704" s="3"/>
      <c r="G2704" s="3"/>
      <c r="H2704" s="3"/>
      <c r="I2704" s="3"/>
      <c r="J2704" s="3"/>
    </row>
    <row r="2705" spans="4:10" s="22" customFormat="1" x14ac:dyDescent="0.35">
      <c r="D2705" s="3"/>
      <c r="E2705" s="3"/>
      <c r="F2705" s="3"/>
      <c r="G2705" s="3"/>
      <c r="H2705" s="3"/>
      <c r="I2705" s="3"/>
      <c r="J2705" s="3"/>
    </row>
    <row r="2706" spans="4:10" s="22" customFormat="1" x14ac:dyDescent="0.35">
      <c r="D2706" s="3"/>
      <c r="E2706" s="3"/>
      <c r="F2706" s="3"/>
      <c r="G2706" s="3"/>
      <c r="H2706" s="3"/>
      <c r="I2706" s="3"/>
      <c r="J2706" s="3"/>
    </row>
    <row r="2707" spans="4:10" s="22" customFormat="1" x14ac:dyDescent="0.35">
      <c r="D2707" s="3"/>
      <c r="E2707" s="3"/>
      <c r="F2707" s="3"/>
      <c r="G2707" s="3"/>
      <c r="H2707" s="3"/>
      <c r="I2707" s="3"/>
      <c r="J2707" s="3"/>
    </row>
    <row r="2708" spans="4:10" s="22" customFormat="1" x14ac:dyDescent="0.35">
      <c r="D2708" s="3"/>
      <c r="E2708" s="3"/>
      <c r="F2708" s="3"/>
      <c r="G2708" s="3"/>
      <c r="H2708" s="3"/>
      <c r="I2708" s="3"/>
      <c r="J2708" s="3"/>
    </row>
    <row r="2709" spans="4:10" s="22" customFormat="1" x14ac:dyDescent="0.35">
      <c r="D2709" s="3"/>
      <c r="E2709" s="3"/>
      <c r="F2709" s="3"/>
      <c r="G2709" s="3"/>
      <c r="H2709" s="3"/>
      <c r="I2709" s="3"/>
      <c r="J2709" s="3"/>
    </row>
    <row r="2710" spans="4:10" s="22" customFormat="1" x14ac:dyDescent="0.35">
      <c r="D2710" s="3"/>
      <c r="E2710" s="3"/>
      <c r="F2710" s="3"/>
      <c r="G2710" s="3"/>
      <c r="H2710" s="3"/>
      <c r="I2710" s="3"/>
      <c r="J2710" s="3"/>
    </row>
    <row r="2711" spans="4:10" s="22" customFormat="1" x14ac:dyDescent="0.35">
      <c r="D2711" s="3"/>
      <c r="E2711" s="3"/>
      <c r="F2711" s="3"/>
      <c r="G2711" s="3"/>
      <c r="H2711" s="3"/>
      <c r="I2711" s="3"/>
      <c r="J2711" s="3"/>
    </row>
    <row r="2712" spans="4:10" s="22" customFormat="1" x14ac:dyDescent="0.35">
      <c r="D2712" s="3"/>
      <c r="E2712" s="3"/>
      <c r="F2712" s="3"/>
      <c r="G2712" s="3"/>
      <c r="H2712" s="3"/>
      <c r="I2712" s="3"/>
      <c r="J2712" s="3"/>
    </row>
    <row r="2713" spans="4:10" s="22" customFormat="1" x14ac:dyDescent="0.35">
      <c r="D2713" s="3"/>
      <c r="E2713" s="3"/>
      <c r="F2713" s="3"/>
      <c r="G2713" s="3"/>
      <c r="H2713" s="3"/>
      <c r="I2713" s="3"/>
      <c r="J2713" s="3"/>
    </row>
    <row r="2714" spans="4:10" s="22" customFormat="1" x14ac:dyDescent="0.35">
      <c r="D2714" s="3"/>
      <c r="E2714" s="3"/>
      <c r="F2714" s="3"/>
      <c r="G2714" s="3"/>
      <c r="H2714" s="3"/>
      <c r="I2714" s="3"/>
      <c r="J2714" s="3"/>
    </row>
    <row r="2715" spans="4:10" s="22" customFormat="1" x14ac:dyDescent="0.35">
      <c r="D2715" s="3"/>
      <c r="E2715" s="3"/>
      <c r="F2715" s="3"/>
      <c r="G2715" s="3"/>
      <c r="H2715" s="3"/>
      <c r="I2715" s="3"/>
      <c r="J2715" s="3"/>
    </row>
    <row r="2716" spans="4:10" s="22" customFormat="1" x14ac:dyDescent="0.35">
      <c r="D2716" s="3"/>
      <c r="E2716" s="3"/>
      <c r="F2716" s="3"/>
      <c r="G2716" s="3"/>
      <c r="H2716" s="3"/>
      <c r="I2716" s="3"/>
      <c r="J2716" s="3"/>
    </row>
    <row r="2717" spans="4:10" s="22" customFormat="1" x14ac:dyDescent="0.35">
      <c r="D2717" s="3"/>
      <c r="E2717" s="3"/>
      <c r="F2717" s="3"/>
      <c r="G2717" s="3"/>
      <c r="H2717" s="3"/>
      <c r="I2717" s="3"/>
      <c r="J2717" s="3"/>
    </row>
    <row r="2718" spans="4:10" s="22" customFormat="1" x14ac:dyDescent="0.35">
      <c r="D2718" s="3"/>
      <c r="E2718" s="3"/>
      <c r="F2718" s="3"/>
      <c r="G2718" s="3"/>
      <c r="H2718" s="3"/>
      <c r="I2718" s="3"/>
      <c r="J2718" s="3"/>
    </row>
    <row r="2719" spans="4:10" s="22" customFormat="1" x14ac:dyDescent="0.35">
      <c r="D2719" s="3"/>
      <c r="E2719" s="3"/>
      <c r="F2719" s="3"/>
      <c r="G2719" s="3"/>
      <c r="H2719" s="3"/>
      <c r="I2719" s="3"/>
      <c r="J2719" s="3"/>
    </row>
    <row r="2720" spans="4:10" s="22" customFormat="1" x14ac:dyDescent="0.35">
      <c r="D2720" s="3"/>
      <c r="E2720" s="3"/>
      <c r="F2720" s="3"/>
      <c r="G2720" s="3"/>
      <c r="H2720" s="3"/>
      <c r="I2720" s="3"/>
      <c r="J2720" s="3"/>
    </row>
    <row r="2721" spans="4:10" s="22" customFormat="1" x14ac:dyDescent="0.35">
      <c r="D2721" s="3"/>
      <c r="E2721" s="3"/>
      <c r="F2721" s="3"/>
      <c r="G2721" s="3"/>
      <c r="H2721" s="3"/>
      <c r="I2721" s="3"/>
      <c r="J2721" s="3"/>
    </row>
    <row r="2722" spans="4:10" s="22" customFormat="1" x14ac:dyDescent="0.35">
      <c r="D2722" s="3"/>
      <c r="E2722" s="3"/>
      <c r="F2722" s="3"/>
      <c r="G2722" s="3"/>
      <c r="H2722" s="3"/>
      <c r="I2722" s="3"/>
      <c r="J2722" s="3"/>
    </row>
    <row r="2723" spans="4:10" s="22" customFormat="1" x14ac:dyDescent="0.35">
      <c r="D2723" s="3"/>
      <c r="E2723" s="3"/>
      <c r="F2723" s="3"/>
      <c r="G2723" s="3"/>
      <c r="H2723" s="3"/>
      <c r="I2723" s="3"/>
      <c r="J2723" s="3"/>
    </row>
    <row r="2724" spans="4:10" s="22" customFormat="1" x14ac:dyDescent="0.35">
      <c r="D2724" s="3"/>
      <c r="E2724" s="3"/>
      <c r="F2724" s="3"/>
      <c r="G2724" s="3"/>
      <c r="H2724" s="3"/>
      <c r="I2724" s="3"/>
      <c r="J2724" s="3"/>
    </row>
    <row r="2725" spans="4:10" s="22" customFormat="1" x14ac:dyDescent="0.35">
      <c r="D2725" s="3"/>
      <c r="E2725" s="3"/>
      <c r="F2725" s="3"/>
      <c r="G2725" s="3"/>
      <c r="H2725" s="3"/>
      <c r="I2725" s="3"/>
      <c r="J2725" s="3"/>
    </row>
    <row r="2726" spans="4:10" s="22" customFormat="1" x14ac:dyDescent="0.35">
      <c r="D2726" s="3"/>
      <c r="E2726" s="3"/>
      <c r="F2726" s="3"/>
      <c r="G2726" s="3"/>
      <c r="H2726" s="3"/>
      <c r="I2726" s="3"/>
      <c r="J2726" s="3"/>
    </row>
    <row r="2727" spans="4:10" s="22" customFormat="1" x14ac:dyDescent="0.35">
      <c r="D2727" s="3"/>
      <c r="E2727" s="3"/>
      <c r="F2727" s="3"/>
      <c r="G2727" s="3"/>
      <c r="H2727" s="3"/>
      <c r="I2727" s="3"/>
      <c r="J2727" s="3"/>
    </row>
    <row r="2728" spans="4:10" s="22" customFormat="1" x14ac:dyDescent="0.35">
      <c r="D2728" s="3"/>
      <c r="E2728" s="3"/>
      <c r="F2728" s="3"/>
      <c r="G2728" s="3"/>
      <c r="H2728" s="3"/>
      <c r="I2728" s="3"/>
      <c r="J2728" s="3"/>
    </row>
    <row r="2729" spans="4:10" s="22" customFormat="1" x14ac:dyDescent="0.35">
      <c r="D2729" s="3"/>
      <c r="E2729" s="3"/>
      <c r="F2729" s="3"/>
      <c r="G2729" s="3"/>
      <c r="H2729" s="3"/>
      <c r="I2729" s="3"/>
      <c r="J2729" s="3"/>
    </row>
    <row r="2730" spans="4:10" s="22" customFormat="1" x14ac:dyDescent="0.35">
      <c r="D2730" s="3"/>
      <c r="E2730" s="3"/>
      <c r="F2730" s="3"/>
      <c r="G2730" s="3"/>
      <c r="H2730" s="3"/>
      <c r="I2730" s="3"/>
      <c r="J2730" s="3"/>
    </row>
    <row r="2731" spans="4:10" s="22" customFormat="1" x14ac:dyDescent="0.35">
      <c r="D2731" s="3"/>
      <c r="E2731" s="3"/>
      <c r="F2731" s="3"/>
      <c r="G2731" s="3"/>
      <c r="H2731" s="3"/>
      <c r="I2731" s="3"/>
      <c r="J2731" s="3"/>
    </row>
    <row r="2732" spans="4:10" s="22" customFormat="1" x14ac:dyDescent="0.35">
      <c r="D2732" s="3"/>
      <c r="E2732" s="3"/>
      <c r="F2732" s="3"/>
      <c r="G2732" s="3"/>
      <c r="H2732" s="3"/>
      <c r="I2732" s="3"/>
      <c r="J2732" s="3"/>
    </row>
    <row r="2733" spans="4:10" s="22" customFormat="1" x14ac:dyDescent="0.35">
      <c r="D2733" s="3"/>
      <c r="E2733" s="3"/>
      <c r="F2733" s="3"/>
      <c r="G2733" s="3"/>
      <c r="H2733" s="3"/>
      <c r="I2733" s="3"/>
      <c r="J2733" s="3"/>
    </row>
    <row r="2734" spans="4:10" s="22" customFormat="1" x14ac:dyDescent="0.35">
      <c r="D2734" s="3"/>
      <c r="E2734" s="3"/>
      <c r="F2734" s="3"/>
      <c r="G2734" s="3"/>
      <c r="H2734" s="3"/>
      <c r="I2734" s="3"/>
      <c r="J2734" s="3"/>
    </row>
    <row r="2735" spans="4:10" s="22" customFormat="1" x14ac:dyDescent="0.35">
      <c r="D2735" s="3"/>
      <c r="E2735" s="3"/>
      <c r="F2735" s="3"/>
      <c r="G2735" s="3"/>
      <c r="H2735" s="3"/>
      <c r="I2735" s="3"/>
      <c r="J2735" s="3"/>
    </row>
    <row r="2736" spans="4:10" s="22" customFormat="1" x14ac:dyDescent="0.35">
      <c r="D2736" s="3"/>
      <c r="E2736" s="3"/>
      <c r="F2736" s="3"/>
      <c r="G2736" s="3"/>
      <c r="H2736" s="3"/>
      <c r="I2736" s="3"/>
      <c r="J2736" s="3"/>
    </row>
    <row r="2737" spans="4:10" s="22" customFormat="1" x14ac:dyDescent="0.35">
      <c r="D2737" s="3"/>
      <c r="E2737" s="3"/>
      <c r="F2737" s="3"/>
      <c r="G2737" s="3"/>
      <c r="H2737" s="3"/>
      <c r="I2737" s="3"/>
      <c r="J2737" s="3"/>
    </row>
    <row r="2738" spans="4:10" s="22" customFormat="1" x14ac:dyDescent="0.35">
      <c r="D2738" s="3"/>
      <c r="E2738" s="3"/>
      <c r="F2738" s="3"/>
      <c r="G2738" s="3"/>
      <c r="H2738" s="3"/>
      <c r="I2738" s="3"/>
      <c r="J2738" s="3"/>
    </row>
    <row r="2739" spans="4:10" s="22" customFormat="1" x14ac:dyDescent="0.35">
      <c r="D2739" s="3"/>
      <c r="E2739" s="3"/>
      <c r="F2739" s="3"/>
      <c r="G2739" s="3"/>
      <c r="H2739" s="3"/>
      <c r="I2739" s="3"/>
      <c r="J2739" s="3"/>
    </row>
    <row r="2740" spans="4:10" s="22" customFormat="1" x14ac:dyDescent="0.35">
      <c r="D2740" s="3"/>
      <c r="E2740" s="3"/>
      <c r="F2740" s="3"/>
      <c r="G2740" s="3"/>
      <c r="H2740" s="3"/>
      <c r="I2740" s="3"/>
      <c r="J2740" s="3"/>
    </row>
    <row r="2741" spans="4:10" s="22" customFormat="1" x14ac:dyDescent="0.35">
      <c r="D2741" s="3"/>
      <c r="E2741" s="3"/>
      <c r="F2741" s="3"/>
      <c r="G2741" s="3"/>
      <c r="H2741" s="3"/>
      <c r="I2741" s="3"/>
      <c r="J2741" s="3"/>
    </row>
    <row r="2742" spans="4:10" s="22" customFormat="1" x14ac:dyDescent="0.35">
      <c r="D2742" s="3"/>
      <c r="E2742" s="3"/>
      <c r="F2742" s="3"/>
      <c r="G2742" s="3"/>
      <c r="H2742" s="3"/>
      <c r="I2742" s="3"/>
      <c r="J2742" s="3"/>
    </row>
    <row r="2743" spans="4:10" s="22" customFormat="1" x14ac:dyDescent="0.35">
      <c r="D2743" s="3"/>
      <c r="E2743" s="3"/>
      <c r="F2743" s="3"/>
      <c r="G2743" s="3"/>
      <c r="H2743" s="3"/>
      <c r="I2743" s="3"/>
      <c r="J2743" s="3"/>
    </row>
    <row r="2744" spans="4:10" s="22" customFormat="1" x14ac:dyDescent="0.35">
      <c r="D2744" s="3"/>
      <c r="E2744" s="3"/>
      <c r="F2744" s="3"/>
      <c r="G2744" s="3"/>
      <c r="H2744" s="3"/>
      <c r="I2744" s="3"/>
      <c r="J2744" s="3"/>
    </row>
    <row r="2745" spans="4:10" s="22" customFormat="1" x14ac:dyDescent="0.35">
      <c r="D2745" s="3"/>
      <c r="E2745" s="3"/>
      <c r="F2745" s="3"/>
      <c r="G2745" s="3"/>
      <c r="H2745" s="3"/>
      <c r="I2745" s="3"/>
      <c r="J2745" s="3"/>
    </row>
    <row r="2746" spans="4:10" s="22" customFormat="1" x14ac:dyDescent="0.35">
      <c r="D2746" s="3"/>
      <c r="E2746" s="3"/>
      <c r="F2746" s="3"/>
      <c r="G2746" s="3"/>
      <c r="H2746" s="3"/>
      <c r="I2746" s="3"/>
      <c r="J2746" s="3"/>
    </row>
    <row r="2747" spans="4:10" s="22" customFormat="1" x14ac:dyDescent="0.35">
      <c r="D2747" s="3"/>
      <c r="E2747" s="3"/>
      <c r="F2747" s="3"/>
      <c r="G2747" s="3"/>
      <c r="H2747" s="3"/>
      <c r="I2747" s="3"/>
      <c r="J2747" s="3"/>
    </row>
    <row r="2748" spans="4:10" s="22" customFormat="1" x14ac:dyDescent="0.35">
      <c r="D2748" s="3"/>
      <c r="E2748" s="3"/>
      <c r="F2748" s="3"/>
      <c r="G2748" s="3"/>
      <c r="H2748" s="3"/>
      <c r="I2748" s="3"/>
      <c r="J2748" s="3"/>
    </row>
    <row r="2749" spans="4:10" s="22" customFormat="1" x14ac:dyDescent="0.35">
      <c r="D2749" s="3"/>
      <c r="E2749" s="3"/>
      <c r="F2749" s="3"/>
      <c r="G2749" s="3"/>
      <c r="H2749" s="3"/>
      <c r="I2749" s="3"/>
      <c r="J2749" s="3"/>
    </row>
    <row r="2750" spans="4:10" s="22" customFormat="1" x14ac:dyDescent="0.35">
      <c r="D2750" s="3"/>
      <c r="E2750" s="3"/>
      <c r="F2750" s="3"/>
      <c r="G2750" s="3"/>
      <c r="H2750" s="3"/>
      <c r="I2750" s="3"/>
      <c r="J2750" s="3"/>
    </row>
    <row r="2751" spans="4:10" s="22" customFormat="1" x14ac:dyDescent="0.35">
      <c r="D2751" s="3"/>
      <c r="E2751" s="3"/>
      <c r="F2751" s="3"/>
      <c r="G2751" s="3"/>
      <c r="H2751" s="3"/>
      <c r="I2751" s="3"/>
      <c r="J2751" s="3"/>
    </row>
    <row r="2752" spans="4:10" s="22" customFormat="1" x14ac:dyDescent="0.35">
      <c r="D2752" s="3"/>
      <c r="E2752" s="3"/>
      <c r="F2752" s="3"/>
      <c r="G2752" s="3"/>
      <c r="H2752" s="3"/>
      <c r="I2752" s="3"/>
      <c r="J2752" s="3"/>
    </row>
    <row r="2753" spans="4:10" s="22" customFormat="1" x14ac:dyDescent="0.35">
      <c r="D2753" s="3"/>
      <c r="E2753" s="3"/>
      <c r="F2753" s="3"/>
      <c r="G2753" s="3"/>
      <c r="H2753" s="3"/>
      <c r="I2753" s="3"/>
      <c r="J2753" s="3"/>
    </row>
    <row r="2754" spans="4:10" s="22" customFormat="1" x14ac:dyDescent="0.35">
      <c r="D2754" s="3"/>
      <c r="E2754" s="3"/>
      <c r="F2754" s="3"/>
      <c r="G2754" s="3"/>
      <c r="H2754" s="3"/>
      <c r="I2754" s="3"/>
      <c r="J2754" s="3"/>
    </row>
    <row r="2755" spans="4:10" s="22" customFormat="1" x14ac:dyDescent="0.35">
      <c r="D2755" s="3"/>
      <c r="E2755" s="3"/>
      <c r="F2755" s="3"/>
      <c r="G2755" s="3"/>
      <c r="H2755" s="3"/>
      <c r="I2755" s="3"/>
      <c r="J2755" s="3"/>
    </row>
    <row r="2756" spans="4:10" s="22" customFormat="1" x14ac:dyDescent="0.35">
      <c r="D2756" s="3"/>
      <c r="E2756" s="3"/>
      <c r="F2756" s="3"/>
      <c r="G2756" s="3"/>
      <c r="H2756" s="3"/>
      <c r="I2756" s="3"/>
      <c r="J2756" s="3"/>
    </row>
    <row r="2757" spans="4:10" s="22" customFormat="1" x14ac:dyDescent="0.35">
      <c r="D2757" s="3"/>
      <c r="E2757" s="3"/>
      <c r="F2757" s="3"/>
      <c r="G2757" s="3"/>
      <c r="H2757" s="3"/>
      <c r="I2757" s="3"/>
      <c r="J2757" s="3"/>
    </row>
    <row r="2758" spans="4:10" s="22" customFormat="1" x14ac:dyDescent="0.35">
      <c r="D2758" s="3"/>
      <c r="E2758" s="3"/>
      <c r="F2758" s="3"/>
      <c r="G2758" s="3"/>
      <c r="H2758" s="3"/>
      <c r="I2758" s="3"/>
      <c r="J2758" s="3"/>
    </row>
    <row r="2759" spans="4:10" s="22" customFormat="1" x14ac:dyDescent="0.35">
      <c r="D2759" s="3"/>
      <c r="E2759" s="3"/>
      <c r="F2759" s="3"/>
      <c r="G2759" s="3"/>
      <c r="H2759" s="3"/>
      <c r="I2759" s="3"/>
      <c r="J2759" s="3"/>
    </row>
    <row r="2760" spans="4:10" s="22" customFormat="1" x14ac:dyDescent="0.35">
      <c r="D2760" s="3"/>
      <c r="E2760" s="3"/>
      <c r="F2760" s="3"/>
      <c r="G2760" s="3"/>
      <c r="H2760" s="3"/>
      <c r="I2760" s="3"/>
      <c r="J2760" s="3"/>
    </row>
    <row r="2761" spans="4:10" s="22" customFormat="1" x14ac:dyDescent="0.35">
      <c r="D2761" s="3"/>
      <c r="E2761" s="3"/>
      <c r="F2761" s="3"/>
      <c r="G2761" s="3"/>
      <c r="H2761" s="3"/>
      <c r="I2761" s="3"/>
      <c r="J2761" s="3"/>
    </row>
    <row r="2762" spans="4:10" s="22" customFormat="1" x14ac:dyDescent="0.35">
      <c r="D2762" s="3"/>
      <c r="E2762" s="3"/>
      <c r="F2762" s="3"/>
      <c r="G2762" s="3"/>
      <c r="H2762" s="3"/>
      <c r="I2762" s="3"/>
      <c r="J2762" s="3"/>
    </row>
    <row r="2763" spans="4:10" s="22" customFormat="1" x14ac:dyDescent="0.35">
      <c r="D2763" s="3"/>
      <c r="E2763" s="3"/>
      <c r="F2763" s="3"/>
      <c r="G2763" s="3"/>
      <c r="H2763" s="3"/>
      <c r="I2763" s="3"/>
      <c r="J2763" s="3"/>
    </row>
    <row r="2764" spans="4:10" s="22" customFormat="1" x14ac:dyDescent="0.35">
      <c r="D2764" s="3"/>
      <c r="E2764" s="3"/>
      <c r="F2764" s="3"/>
      <c r="G2764" s="3"/>
      <c r="H2764" s="3"/>
      <c r="I2764" s="3"/>
      <c r="J2764" s="3"/>
    </row>
    <row r="2765" spans="4:10" s="22" customFormat="1" x14ac:dyDescent="0.35">
      <c r="D2765" s="3"/>
      <c r="E2765" s="3"/>
      <c r="F2765" s="3"/>
      <c r="G2765" s="3"/>
      <c r="H2765" s="3"/>
      <c r="I2765" s="3"/>
      <c r="J2765" s="3"/>
    </row>
    <row r="2766" spans="4:10" s="22" customFormat="1" x14ac:dyDescent="0.35">
      <c r="D2766" s="3"/>
      <c r="E2766" s="3"/>
      <c r="F2766" s="3"/>
      <c r="G2766" s="3"/>
      <c r="H2766" s="3"/>
      <c r="I2766" s="3"/>
      <c r="J2766" s="3"/>
    </row>
    <row r="2767" spans="4:10" s="22" customFormat="1" x14ac:dyDescent="0.35">
      <c r="D2767" s="3"/>
      <c r="E2767" s="3"/>
      <c r="F2767" s="3"/>
      <c r="G2767" s="3"/>
      <c r="H2767" s="3"/>
      <c r="I2767" s="3"/>
      <c r="J2767" s="3"/>
    </row>
    <row r="2768" spans="4:10" s="22" customFormat="1" x14ac:dyDescent="0.35">
      <c r="D2768" s="3"/>
      <c r="E2768" s="3"/>
      <c r="F2768" s="3"/>
      <c r="G2768" s="3"/>
      <c r="H2768" s="3"/>
      <c r="I2768" s="3"/>
      <c r="J2768" s="3"/>
    </row>
    <row r="2769" spans="4:10" s="22" customFormat="1" x14ac:dyDescent="0.35">
      <c r="D2769" s="3"/>
      <c r="E2769" s="3"/>
      <c r="F2769" s="3"/>
      <c r="G2769" s="3"/>
      <c r="H2769" s="3"/>
      <c r="I2769" s="3"/>
      <c r="J2769" s="3"/>
    </row>
    <row r="2770" spans="4:10" s="22" customFormat="1" x14ac:dyDescent="0.35">
      <c r="D2770" s="3"/>
      <c r="E2770" s="3"/>
      <c r="F2770" s="3"/>
      <c r="G2770" s="3"/>
      <c r="H2770" s="3"/>
      <c r="I2770" s="3"/>
      <c r="J2770" s="3"/>
    </row>
    <row r="2771" spans="4:10" s="22" customFormat="1" x14ac:dyDescent="0.35">
      <c r="D2771" s="3"/>
      <c r="E2771" s="3"/>
      <c r="F2771" s="3"/>
      <c r="G2771" s="3"/>
      <c r="H2771" s="3"/>
      <c r="I2771" s="3"/>
      <c r="J2771" s="3"/>
    </row>
    <row r="2772" spans="4:10" s="22" customFormat="1" x14ac:dyDescent="0.35">
      <c r="D2772" s="3"/>
      <c r="E2772" s="3"/>
      <c r="F2772" s="3"/>
      <c r="G2772" s="3"/>
      <c r="H2772" s="3"/>
      <c r="I2772" s="3"/>
      <c r="J2772" s="3"/>
    </row>
    <row r="2773" spans="4:10" s="22" customFormat="1" x14ac:dyDescent="0.35">
      <c r="D2773" s="3"/>
      <c r="E2773" s="3"/>
      <c r="F2773" s="3"/>
      <c r="G2773" s="3"/>
      <c r="H2773" s="3"/>
      <c r="I2773" s="3"/>
      <c r="J2773" s="3"/>
    </row>
    <row r="2774" spans="4:10" s="22" customFormat="1" x14ac:dyDescent="0.35">
      <c r="D2774" s="3"/>
      <c r="E2774" s="3"/>
      <c r="F2774" s="3"/>
      <c r="G2774" s="3"/>
      <c r="H2774" s="3"/>
      <c r="I2774" s="3"/>
      <c r="J2774" s="3"/>
    </row>
    <row r="2775" spans="4:10" s="22" customFormat="1" x14ac:dyDescent="0.35">
      <c r="D2775" s="3"/>
      <c r="E2775" s="3"/>
      <c r="F2775" s="3"/>
      <c r="G2775" s="3"/>
      <c r="H2775" s="3"/>
      <c r="I2775" s="3"/>
      <c r="J2775" s="3"/>
    </row>
    <row r="2776" spans="4:10" s="22" customFormat="1" x14ac:dyDescent="0.35">
      <c r="D2776" s="3"/>
      <c r="E2776" s="3"/>
      <c r="F2776" s="3"/>
      <c r="G2776" s="3"/>
      <c r="H2776" s="3"/>
      <c r="I2776" s="3"/>
      <c r="J2776" s="3"/>
    </row>
    <row r="2777" spans="4:10" s="22" customFormat="1" x14ac:dyDescent="0.35">
      <c r="D2777" s="3"/>
      <c r="E2777" s="3"/>
      <c r="F2777" s="3"/>
      <c r="G2777" s="3"/>
      <c r="H2777" s="3"/>
      <c r="I2777" s="3"/>
      <c r="J2777" s="3"/>
    </row>
    <row r="2778" spans="4:10" s="22" customFormat="1" x14ac:dyDescent="0.35">
      <c r="D2778" s="3"/>
      <c r="E2778" s="3"/>
      <c r="F2778" s="3"/>
      <c r="G2778" s="3"/>
      <c r="H2778" s="3"/>
      <c r="I2778" s="3"/>
      <c r="J2778" s="3"/>
    </row>
    <row r="2779" spans="4:10" s="22" customFormat="1" x14ac:dyDescent="0.35">
      <c r="D2779" s="3"/>
      <c r="E2779" s="3"/>
      <c r="F2779" s="3"/>
      <c r="G2779" s="3"/>
      <c r="H2779" s="3"/>
      <c r="I2779" s="3"/>
      <c r="J2779" s="3"/>
    </row>
    <row r="2780" spans="4:10" s="22" customFormat="1" x14ac:dyDescent="0.35">
      <c r="D2780" s="3"/>
      <c r="E2780" s="3"/>
      <c r="F2780" s="3"/>
      <c r="G2780" s="3"/>
      <c r="H2780" s="3"/>
      <c r="I2780" s="3"/>
      <c r="J2780" s="3"/>
    </row>
    <row r="2781" spans="4:10" s="22" customFormat="1" x14ac:dyDescent="0.35">
      <c r="D2781" s="3"/>
      <c r="E2781" s="3"/>
      <c r="F2781" s="3"/>
      <c r="G2781" s="3"/>
      <c r="H2781" s="3"/>
      <c r="I2781" s="3"/>
      <c r="J2781" s="3"/>
    </row>
    <row r="2782" spans="4:10" s="22" customFormat="1" x14ac:dyDescent="0.35">
      <c r="D2782" s="3"/>
      <c r="E2782" s="3"/>
      <c r="F2782" s="3"/>
      <c r="G2782" s="3"/>
      <c r="H2782" s="3"/>
      <c r="I2782" s="3"/>
      <c r="J2782" s="3"/>
    </row>
    <row r="2783" spans="4:10" s="22" customFormat="1" x14ac:dyDescent="0.35">
      <c r="D2783" s="3"/>
      <c r="E2783" s="3"/>
      <c r="F2783" s="3"/>
      <c r="G2783" s="3"/>
      <c r="H2783" s="3"/>
      <c r="I2783" s="3"/>
      <c r="J2783" s="3"/>
    </row>
    <row r="2784" spans="4:10" s="22" customFormat="1" x14ac:dyDescent="0.35">
      <c r="D2784" s="3"/>
      <c r="E2784" s="3"/>
      <c r="F2784" s="3"/>
      <c r="G2784" s="3"/>
      <c r="H2784" s="3"/>
      <c r="I2784" s="3"/>
      <c r="J2784" s="3"/>
    </row>
    <row r="2785" spans="4:10" s="22" customFormat="1" x14ac:dyDescent="0.35">
      <c r="D2785" s="3"/>
      <c r="E2785" s="3"/>
      <c r="F2785" s="3"/>
      <c r="G2785" s="3"/>
      <c r="H2785" s="3"/>
      <c r="I2785" s="3"/>
      <c r="J2785" s="3"/>
    </row>
    <row r="2786" spans="4:10" s="22" customFormat="1" x14ac:dyDescent="0.35">
      <c r="D2786" s="3"/>
      <c r="E2786" s="3"/>
      <c r="F2786" s="3"/>
      <c r="G2786" s="3"/>
      <c r="H2786" s="3"/>
      <c r="I2786" s="3"/>
      <c r="J2786" s="3"/>
    </row>
    <row r="2787" spans="4:10" s="22" customFormat="1" x14ac:dyDescent="0.35">
      <c r="D2787" s="3"/>
      <c r="E2787" s="3"/>
      <c r="F2787" s="3"/>
      <c r="G2787" s="3"/>
      <c r="H2787" s="3"/>
      <c r="I2787" s="3"/>
      <c r="J2787" s="3"/>
    </row>
    <row r="2788" spans="4:10" s="22" customFormat="1" x14ac:dyDescent="0.35">
      <c r="D2788" s="3"/>
      <c r="E2788" s="3"/>
      <c r="F2788" s="3"/>
      <c r="G2788" s="3"/>
      <c r="H2788" s="3"/>
      <c r="I2788" s="3"/>
      <c r="J2788" s="3"/>
    </row>
    <row r="2789" spans="4:10" s="22" customFormat="1" x14ac:dyDescent="0.35">
      <c r="D2789" s="3"/>
      <c r="E2789" s="3"/>
      <c r="F2789" s="3"/>
      <c r="G2789" s="3"/>
      <c r="H2789" s="3"/>
      <c r="I2789" s="3"/>
      <c r="J2789" s="3"/>
    </row>
    <row r="2790" spans="4:10" s="22" customFormat="1" x14ac:dyDescent="0.35">
      <c r="D2790" s="3"/>
      <c r="E2790" s="3"/>
      <c r="F2790" s="3"/>
      <c r="G2790" s="3"/>
      <c r="H2790" s="3"/>
      <c r="I2790" s="3"/>
      <c r="J2790" s="3"/>
    </row>
    <row r="2791" spans="4:10" s="22" customFormat="1" x14ac:dyDescent="0.35">
      <c r="D2791" s="3"/>
      <c r="E2791" s="3"/>
      <c r="F2791" s="3"/>
      <c r="G2791" s="3"/>
      <c r="H2791" s="3"/>
      <c r="I2791" s="3"/>
      <c r="J2791" s="3"/>
    </row>
    <row r="2792" spans="4:10" s="22" customFormat="1" x14ac:dyDescent="0.35">
      <c r="D2792" s="3"/>
      <c r="E2792" s="3"/>
      <c r="F2792" s="3"/>
      <c r="G2792" s="3"/>
      <c r="H2792" s="3"/>
      <c r="I2792" s="3"/>
      <c r="J2792" s="3"/>
    </row>
    <row r="2793" spans="4:10" s="22" customFormat="1" x14ac:dyDescent="0.35">
      <c r="D2793" s="3"/>
      <c r="E2793" s="3"/>
      <c r="F2793" s="3"/>
      <c r="G2793" s="3"/>
      <c r="H2793" s="3"/>
      <c r="I2793" s="3"/>
      <c r="J2793" s="3"/>
    </row>
    <row r="2794" spans="4:10" s="22" customFormat="1" x14ac:dyDescent="0.35">
      <c r="D2794" s="3"/>
      <c r="E2794" s="3"/>
      <c r="F2794" s="3"/>
      <c r="G2794" s="3"/>
      <c r="H2794" s="3"/>
      <c r="I2794" s="3"/>
      <c r="J2794" s="3"/>
    </row>
    <row r="2795" spans="4:10" s="22" customFormat="1" x14ac:dyDescent="0.35">
      <c r="D2795" s="3"/>
      <c r="E2795" s="3"/>
      <c r="F2795" s="3"/>
      <c r="G2795" s="3"/>
      <c r="H2795" s="3"/>
      <c r="I2795" s="3"/>
      <c r="J2795" s="3"/>
    </row>
    <row r="2796" spans="4:10" s="22" customFormat="1" x14ac:dyDescent="0.35">
      <c r="D2796" s="3"/>
      <c r="E2796" s="3"/>
      <c r="F2796" s="3"/>
      <c r="G2796" s="3"/>
      <c r="H2796" s="3"/>
      <c r="I2796" s="3"/>
      <c r="J2796" s="3"/>
    </row>
    <row r="2797" spans="4:10" s="22" customFormat="1" x14ac:dyDescent="0.35">
      <c r="D2797" s="3"/>
      <c r="E2797" s="3"/>
      <c r="F2797" s="3"/>
      <c r="G2797" s="3"/>
      <c r="H2797" s="3"/>
      <c r="I2797" s="3"/>
      <c r="J2797" s="3"/>
    </row>
    <row r="2798" spans="4:10" s="22" customFormat="1" x14ac:dyDescent="0.35">
      <c r="D2798" s="3"/>
      <c r="E2798" s="3"/>
      <c r="F2798" s="3"/>
      <c r="G2798" s="3"/>
      <c r="H2798" s="3"/>
      <c r="I2798" s="3"/>
      <c r="J2798" s="3"/>
    </row>
    <row r="2799" spans="4:10" s="22" customFormat="1" x14ac:dyDescent="0.35">
      <c r="D2799" s="3"/>
      <c r="E2799" s="3"/>
      <c r="F2799" s="3"/>
      <c r="G2799" s="3"/>
      <c r="H2799" s="3"/>
      <c r="I2799" s="3"/>
      <c r="J2799" s="3"/>
    </row>
    <row r="2800" spans="4:10" s="22" customFormat="1" x14ac:dyDescent="0.35">
      <c r="D2800" s="3"/>
      <c r="E2800" s="3"/>
      <c r="F2800" s="3"/>
      <c r="G2800" s="3"/>
      <c r="H2800" s="3"/>
      <c r="I2800" s="3"/>
      <c r="J2800" s="3"/>
    </row>
    <row r="2801" spans="4:10" s="22" customFormat="1" x14ac:dyDescent="0.35">
      <c r="D2801" s="3"/>
      <c r="E2801" s="3"/>
      <c r="F2801" s="3"/>
      <c r="G2801" s="3"/>
      <c r="H2801" s="3"/>
      <c r="I2801" s="3"/>
      <c r="J2801" s="3"/>
    </row>
    <row r="2802" spans="4:10" s="22" customFormat="1" x14ac:dyDescent="0.35">
      <c r="D2802" s="3"/>
      <c r="E2802" s="3"/>
      <c r="F2802" s="3"/>
      <c r="G2802" s="3"/>
      <c r="H2802" s="3"/>
      <c r="I2802" s="3"/>
      <c r="J2802" s="3"/>
    </row>
    <row r="2803" spans="4:10" s="22" customFormat="1" x14ac:dyDescent="0.35">
      <c r="D2803" s="3"/>
      <c r="E2803" s="3"/>
      <c r="F2803" s="3"/>
      <c r="G2803" s="3"/>
      <c r="H2803" s="3"/>
      <c r="I2803" s="3"/>
      <c r="J2803" s="3"/>
    </row>
    <row r="2804" spans="4:10" s="22" customFormat="1" x14ac:dyDescent="0.35">
      <c r="D2804" s="3"/>
      <c r="E2804" s="3"/>
      <c r="F2804" s="3"/>
      <c r="G2804" s="3"/>
      <c r="H2804" s="3"/>
      <c r="I2804" s="3"/>
      <c r="J2804" s="3"/>
    </row>
    <row r="2805" spans="4:10" s="22" customFormat="1" x14ac:dyDescent="0.35">
      <c r="D2805" s="3"/>
      <c r="E2805" s="3"/>
      <c r="F2805" s="3"/>
      <c r="G2805" s="3"/>
      <c r="H2805" s="3"/>
      <c r="I2805" s="3"/>
      <c r="J2805" s="3"/>
    </row>
    <row r="2806" spans="4:10" s="22" customFormat="1" x14ac:dyDescent="0.35">
      <c r="D2806" s="3"/>
      <c r="E2806" s="3"/>
      <c r="F2806" s="3"/>
      <c r="G2806" s="3"/>
      <c r="H2806" s="3"/>
      <c r="I2806" s="3"/>
      <c r="J2806" s="3"/>
    </row>
    <row r="2807" spans="4:10" s="22" customFormat="1" x14ac:dyDescent="0.35">
      <c r="D2807" s="3"/>
      <c r="E2807" s="3"/>
      <c r="F2807" s="3"/>
      <c r="G2807" s="3"/>
      <c r="H2807" s="3"/>
      <c r="I2807" s="3"/>
      <c r="J2807" s="3"/>
    </row>
    <row r="2808" spans="4:10" s="22" customFormat="1" x14ac:dyDescent="0.35">
      <c r="D2808" s="3"/>
      <c r="E2808" s="3"/>
      <c r="F2808" s="3"/>
      <c r="G2808" s="3"/>
      <c r="H2808" s="3"/>
      <c r="I2808" s="3"/>
      <c r="J2808" s="3"/>
    </row>
    <row r="2809" spans="4:10" s="22" customFormat="1" x14ac:dyDescent="0.35">
      <c r="D2809" s="3"/>
      <c r="E2809" s="3"/>
      <c r="F2809" s="3"/>
      <c r="G2809" s="3"/>
      <c r="H2809" s="3"/>
      <c r="I2809" s="3"/>
      <c r="J2809" s="3"/>
    </row>
    <row r="2810" spans="4:10" s="22" customFormat="1" x14ac:dyDescent="0.35">
      <c r="D2810" s="3"/>
      <c r="E2810" s="3"/>
      <c r="F2810" s="3"/>
      <c r="G2810" s="3"/>
      <c r="H2810" s="3"/>
      <c r="I2810" s="3"/>
      <c r="J2810" s="3"/>
    </row>
    <row r="2811" spans="4:10" s="22" customFormat="1" x14ac:dyDescent="0.35">
      <c r="D2811" s="3"/>
      <c r="E2811" s="3"/>
      <c r="F2811" s="3"/>
      <c r="G2811" s="3"/>
      <c r="H2811" s="3"/>
      <c r="I2811" s="3"/>
      <c r="J2811" s="3"/>
    </row>
    <row r="2812" spans="4:10" s="22" customFormat="1" x14ac:dyDescent="0.35">
      <c r="D2812" s="3"/>
      <c r="E2812" s="3"/>
      <c r="F2812" s="3"/>
      <c r="G2812" s="3"/>
      <c r="H2812" s="3"/>
      <c r="I2812" s="3"/>
      <c r="J2812" s="3"/>
    </row>
    <row r="2813" spans="4:10" s="22" customFormat="1" x14ac:dyDescent="0.35">
      <c r="D2813" s="3"/>
      <c r="E2813" s="3"/>
      <c r="F2813" s="3"/>
      <c r="G2813" s="3"/>
      <c r="H2813" s="3"/>
      <c r="I2813" s="3"/>
      <c r="J2813" s="3"/>
    </row>
    <row r="2814" spans="4:10" s="22" customFormat="1" x14ac:dyDescent="0.35">
      <c r="D2814" s="3"/>
      <c r="E2814" s="3"/>
      <c r="F2814" s="3"/>
      <c r="G2814" s="3"/>
      <c r="H2814" s="3"/>
      <c r="I2814" s="3"/>
      <c r="J2814" s="3"/>
    </row>
    <row r="2815" spans="4:10" s="22" customFormat="1" x14ac:dyDescent="0.35">
      <c r="D2815" s="3"/>
      <c r="E2815" s="3"/>
      <c r="F2815" s="3"/>
      <c r="G2815" s="3"/>
      <c r="H2815" s="3"/>
      <c r="I2815" s="3"/>
      <c r="J2815" s="3"/>
    </row>
    <row r="2816" spans="4:10" s="22" customFormat="1" x14ac:dyDescent="0.35">
      <c r="D2816" s="3"/>
      <c r="E2816" s="3"/>
      <c r="F2816" s="3"/>
      <c r="G2816" s="3"/>
      <c r="H2816" s="3"/>
      <c r="I2816" s="3"/>
      <c r="J2816" s="3"/>
    </row>
    <row r="2817" spans="4:10" s="22" customFormat="1" x14ac:dyDescent="0.35">
      <c r="D2817" s="3"/>
      <c r="E2817" s="3"/>
      <c r="F2817" s="3"/>
      <c r="G2817" s="3"/>
      <c r="H2817" s="3"/>
      <c r="I2817" s="3"/>
      <c r="J2817" s="3"/>
    </row>
    <row r="2818" spans="4:10" s="22" customFormat="1" x14ac:dyDescent="0.35">
      <c r="D2818" s="3"/>
      <c r="E2818" s="3"/>
      <c r="F2818" s="3"/>
      <c r="G2818" s="3"/>
      <c r="H2818" s="3"/>
      <c r="I2818" s="3"/>
      <c r="J2818" s="3"/>
    </row>
    <row r="2819" spans="4:10" s="22" customFormat="1" x14ac:dyDescent="0.35">
      <c r="D2819" s="3"/>
      <c r="E2819" s="3"/>
      <c r="F2819" s="3"/>
      <c r="G2819" s="3"/>
      <c r="H2819" s="3"/>
      <c r="I2819" s="3"/>
      <c r="J2819" s="3"/>
    </row>
    <row r="2820" spans="4:10" s="22" customFormat="1" x14ac:dyDescent="0.35">
      <c r="D2820" s="3"/>
      <c r="E2820" s="3"/>
      <c r="F2820" s="3"/>
      <c r="G2820" s="3"/>
      <c r="H2820" s="3"/>
      <c r="I2820" s="3"/>
      <c r="J2820" s="3"/>
    </row>
    <row r="2821" spans="4:10" s="22" customFormat="1" x14ac:dyDescent="0.35">
      <c r="D2821" s="3"/>
      <c r="E2821" s="3"/>
      <c r="F2821" s="3"/>
      <c r="G2821" s="3"/>
      <c r="H2821" s="3"/>
      <c r="I2821" s="3"/>
      <c r="J2821" s="3"/>
    </row>
    <row r="2822" spans="4:10" s="22" customFormat="1" x14ac:dyDescent="0.35">
      <c r="D2822" s="3"/>
      <c r="E2822" s="3"/>
      <c r="F2822" s="3"/>
      <c r="G2822" s="3"/>
      <c r="H2822" s="3"/>
      <c r="I2822" s="3"/>
      <c r="J2822" s="3"/>
    </row>
    <row r="2823" spans="4:10" s="22" customFormat="1" x14ac:dyDescent="0.35">
      <c r="D2823" s="3"/>
      <c r="E2823" s="3"/>
      <c r="F2823" s="3"/>
      <c r="G2823" s="3"/>
      <c r="H2823" s="3"/>
      <c r="I2823" s="3"/>
      <c r="J2823" s="3"/>
    </row>
    <row r="2824" spans="4:10" s="22" customFormat="1" x14ac:dyDescent="0.35">
      <c r="D2824" s="3"/>
      <c r="E2824" s="3"/>
      <c r="F2824" s="3"/>
      <c r="G2824" s="3"/>
      <c r="H2824" s="3"/>
      <c r="I2824" s="3"/>
      <c r="J2824" s="3"/>
    </row>
    <row r="2825" spans="4:10" s="22" customFormat="1" x14ac:dyDescent="0.35">
      <c r="D2825" s="3"/>
      <c r="E2825" s="3"/>
      <c r="F2825" s="3"/>
      <c r="G2825" s="3"/>
      <c r="H2825" s="3"/>
      <c r="I2825" s="3"/>
      <c r="J2825" s="3"/>
    </row>
    <row r="2826" spans="4:10" s="22" customFormat="1" x14ac:dyDescent="0.35">
      <c r="D2826" s="3"/>
      <c r="E2826" s="3"/>
      <c r="F2826" s="3"/>
      <c r="G2826" s="3"/>
      <c r="H2826" s="3"/>
      <c r="I2826" s="3"/>
      <c r="J2826" s="3"/>
    </row>
    <row r="2827" spans="4:10" s="22" customFormat="1" x14ac:dyDescent="0.35">
      <c r="D2827" s="3"/>
      <c r="E2827" s="3"/>
      <c r="F2827" s="3"/>
      <c r="G2827" s="3"/>
      <c r="H2827" s="3"/>
      <c r="I2827" s="3"/>
      <c r="J2827" s="3"/>
    </row>
    <row r="2828" spans="4:10" s="22" customFormat="1" x14ac:dyDescent="0.35">
      <c r="D2828" s="3"/>
      <c r="E2828" s="3"/>
      <c r="F2828" s="3"/>
      <c r="G2828" s="3"/>
      <c r="H2828" s="3"/>
      <c r="I2828" s="3"/>
      <c r="J2828" s="3"/>
    </row>
    <row r="2829" spans="4:10" s="22" customFormat="1" x14ac:dyDescent="0.35">
      <c r="D2829" s="3"/>
      <c r="E2829" s="3"/>
      <c r="F2829" s="3"/>
      <c r="G2829" s="3"/>
      <c r="H2829" s="3"/>
      <c r="I2829" s="3"/>
      <c r="J2829" s="3"/>
    </row>
    <row r="2830" spans="4:10" s="22" customFormat="1" x14ac:dyDescent="0.35">
      <c r="D2830" s="3"/>
      <c r="E2830" s="3"/>
      <c r="F2830" s="3"/>
      <c r="G2830" s="3"/>
      <c r="H2830" s="3"/>
      <c r="I2830" s="3"/>
      <c r="J2830" s="3"/>
    </row>
    <row r="2831" spans="4:10" s="22" customFormat="1" x14ac:dyDescent="0.35">
      <c r="D2831" s="3"/>
      <c r="E2831" s="3"/>
      <c r="F2831" s="3"/>
      <c r="G2831" s="3"/>
      <c r="H2831" s="3"/>
      <c r="I2831" s="3"/>
      <c r="J2831" s="3"/>
    </row>
    <row r="2832" spans="4:10" s="22" customFormat="1" x14ac:dyDescent="0.35">
      <c r="D2832" s="3"/>
      <c r="E2832" s="3"/>
      <c r="F2832" s="3"/>
      <c r="G2832" s="3"/>
      <c r="H2832" s="3"/>
      <c r="I2832" s="3"/>
      <c r="J2832" s="3"/>
    </row>
    <row r="2833" spans="4:10" s="22" customFormat="1" x14ac:dyDescent="0.35">
      <c r="D2833" s="3"/>
      <c r="E2833" s="3"/>
      <c r="F2833" s="3"/>
      <c r="G2833" s="3"/>
      <c r="H2833" s="3"/>
      <c r="I2833" s="3"/>
      <c r="J2833" s="3"/>
    </row>
    <row r="2834" spans="4:10" s="22" customFormat="1" x14ac:dyDescent="0.35">
      <c r="D2834" s="3"/>
      <c r="E2834" s="3"/>
      <c r="F2834" s="3"/>
      <c r="G2834" s="3"/>
      <c r="H2834" s="3"/>
      <c r="I2834" s="3"/>
      <c r="J2834" s="3"/>
    </row>
    <row r="2835" spans="4:10" s="22" customFormat="1" x14ac:dyDescent="0.35">
      <c r="D2835" s="3"/>
      <c r="E2835" s="3"/>
      <c r="F2835" s="3"/>
      <c r="G2835" s="3"/>
      <c r="H2835" s="3"/>
      <c r="I2835" s="3"/>
      <c r="J2835" s="3"/>
    </row>
    <row r="2836" spans="4:10" s="22" customFormat="1" x14ac:dyDescent="0.35">
      <c r="D2836" s="3"/>
      <c r="E2836" s="3"/>
      <c r="F2836" s="3"/>
      <c r="G2836" s="3"/>
      <c r="H2836" s="3"/>
      <c r="I2836" s="3"/>
      <c r="J2836" s="3"/>
    </row>
    <row r="2837" spans="4:10" s="22" customFormat="1" x14ac:dyDescent="0.35">
      <c r="D2837" s="3"/>
      <c r="E2837" s="3"/>
      <c r="F2837" s="3"/>
      <c r="G2837" s="3"/>
      <c r="H2837" s="3"/>
      <c r="I2837" s="3"/>
      <c r="J2837" s="3"/>
    </row>
    <row r="2838" spans="4:10" s="22" customFormat="1" x14ac:dyDescent="0.35">
      <c r="D2838" s="3" t="s">
        <v>518</v>
      </c>
      <c r="E2838" s="3"/>
      <c r="F2838" s="3"/>
      <c r="G2838" s="3"/>
      <c r="H2838" s="3"/>
      <c r="I2838" s="3"/>
      <c r="J2838" s="3"/>
    </row>
    <row r="2839" spans="4:10" s="22" customFormat="1" x14ac:dyDescent="0.35">
      <c r="D2839" s="3"/>
      <c r="E2839" s="3"/>
      <c r="F2839" s="3"/>
      <c r="G2839" s="3"/>
      <c r="H2839" s="3"/>
      <c r="I2839" s="3"/>
      <c r="J2839" s="3"/>
    </row>
    <row r="2840" spans="4:10" s="22" customFormat="1" x14ac:dyDescent="0.35">
      <c r="D2840" s="3"/>
      <c r="E2840" s="3"/>
      <c r="F2840" s="3"/>
      <c r="G2840" s="3"/>
      <c r="H2840" s="3"/>
      <c r="I2840" s="3"/>
      <c r="J2840" s="3"/>
    </row>
    <row r="2841" spans="4:10" s="22" customFormat="1" x14ac:dyDescent="0.35">
      <c r="D2841" s="3"/>
      <c r="E2841" s="3"/>
      <c r="F2841" s="3"/>
      <c r="G2841" s="3"/>
      <c r="H2841" s="3"/>
      <c r="I2841" s="3"/>
      <c r="J2841" s="3"/>
    </row>
    <row r="2842" spans="4:10" s="22" customFormat="1" x14ac:dyDescent="0.35">
      <c r="D2842" s="3"/>
      <c r="E2842" s="3"/>
      <c r="F2842" s="3"/>
      <c r="G2842" s="3"/>
      <c r="H2842" s="3"/>
      <c r="I2842" s="3"/>
      <c r="J2842" s="3"/>
    </row>
    <row r="2843" spans="4:10" s="22" customFormat="1" x14ac:dyDescent="0.35">
      <c r="D2843" s="3"/>
      <c r="E2843" s="3"/>
      <c r="F2843" s="3"/>
      <c r="G2843" s="3"/>
      <c r="H2843" s="3"/>
      <c r="I2843" s="3"/>
      <c r="J2843" s="3"/>
    </row>
    <row r="2844" spans="4:10" s="22" customFormat="1" x14ac:dyDescent="0.35">
      <c r="D2844" s="3"/>
      <c r="E2844" s="3"/>
      <c r="F2844" s="3"/>
      <c r="G2844" s="3"/>
      <c r="H2844" s="3"/>
      <c r="I2844" s="3"/>
      <c r="J2844" s="3"/>
    </row>
    <row r="2845" spans="4:10" s="22" customFormat="1" x14ac:dyDescent="0.35">
      <c r="D2845" s="3"/>
      <c r="E2845" s="3"/>
      <c r="F2845" s="3"/>
      <c r="G2845" s="3"/>
      <c r="H2845" s="3"/>
      <c r="I2845" s="3"/>
      <c r="J2845" s="3"/>
    </row>
    <row r="2846" spans="4:10" s="22" customFormat="1" x14ac:dyDescent="0.35">
      <c r="D2846" s="3"/>
      <c r="E2846" s="3"/>
      <c r="F2846" s="3"/>
      <c r="G2846" s="3"/>
      <c r="H2846" s="3"/>
      <c r="I2846" s="3"/>
      <c r="J2846" s="3"/>
    </row>
    <row r="2847" spans="4:10" s="22" customFormat="1" x14ac:dyDescent="0.35">
      <c r="D2847" s="3"/>
      <c r="E2847" s="3"/>
      <c r="F2847" s="3"/>
      <c r="G2847" s="3"/>
      <c r="H2847" s="3"/>
      <c r="I2847" s="3"/>
      <c r="J2847" s="3"/>
    </row>
    <row r="2848" spans="4:10" s="22" customFormat="1" x14ac:dyDescent="0.35">
      <c r="D2848" s="3"/>
      <c r="E2848" s="3"/>
      <c r="F2848" s="3"/>
      <c r="G2848" s="3"/>
      <c r="H2848" s="3"/>
      <c r="I2848" s="3"/>
      <c r="J2848" s="3"/>
    </row>
    <row r="2849" spans="4:10" s="22" customFormat="1" x14ac:dyDescent="0.35">
      <c r="D2849" s="3"/>
      <c r="E2849" s="3"/>
      <c r="F2849" s="3"/>
      <c r="G2849" s="3"/>
      <c r="H2849" s="3"/>
      <c r="I2849" s="3"/>
      <c r="J2849" s="3"/>
    </row>
    <row r="2850" spans="4:10" s="22" customFormat="1" x14ac:dyDescent="0.35">
      <c r="D2850" s="3"/>
      <c r="E2850" s="3"/>
      <c r="F2850" s="3"/>
      <c r="G2850" s="3"/>
      <c r="H2850" s="3"/>
      <c r="I2850" s="3"/>
      <c r="J2850" s="3"/>
    </row>
    <row r="2851" spans="4:10" s="22" customFormat="1" x14ac:dyDescent="0.35">
      <c r="D2851" s="3"/>
      <c r="E2851" s="3"/>
      <c r="F2851" s="3"/>
      <c r="G2851" s="3"/>
      <c r="H2851" s="3"/>
      <c r="I2851" s="3"/>
      <c r="J2851" s="3"/>
    </row>
    <row r="2852" spans="4:10" s="22" customFormat="1" x14ac:dyDescent="0.35">
      <c r="D2852" s="3"/>
      <c r="E2852" s="3"/>
      <c r="F2852" s="3"/>
      <c r="G2852" s="3"/>
      <c r="H2852" s="3"/>
      <c r="I2852" s="3"/>
      <c r="J2852" s="3"/>
    </row>
    <row r="2853" spans="4:10" s="22" customFormat="1" x14ac:dyDescent="0.35">
      <c r="D2853" s="3"/>
      <c r="E2853" s="3"/>
      <c r="F2853" s="3"/>
      <c r="G2853" s="3"/>
      <c r="H2853" s="3"/>
      <c r="I2853" s="3"/>
      <c r="J2853" s="3"/>
    </row>
    <row r="2854" spans="4:10" s="22" customFormat="1" x14ac:dyDescent="0.35">
      <c r="D2854" s="3"/>
      <c r="E2854" s="3"/>
      <c r="F2854" s="3"/>
      <c r="G2854" s="3"/>
      <c r="H2854" s="3"/>
      <c r="I2854" s="3"/>
      <c r="J2854" s="3"/>
    </row>
    <row r="2855" spans="4:10" s="22" customFormat="1" x14ac:dyDescent="0.35">
      <c r="D2855" s="3"/>
      <c r="E2855" s="3"/>
      <c r="F2855" s="3"/>
      <c r="G2855" s="3"/>
      <c r="H2855" s="3"/>
      <c r="I2855" s="3"/>
      <c r="J2855" s="3"/>
    </row>
    <row r="2856" spans="4:10" s="22" customFormat="1" x14ac:dyDescent="0.35">
      <c r="D2856" s="3"/>
      <c r="E2856" s="3"/>
      <c r="F2856" s="3"/>
      <c r="G2856" s="3"/>
      <c r="H2856" s="3"/>
      <c r="I2856" s="3"/>
      <c r="J2856" s="3"/>
    </row>
    <row r="2857" spans="4:10" s="22" customFormat="1" x14ac:dyDescent="0.35">
      <c r="D2857" s="3"/>
      <c r="E2857" s="3"/>
      <c r="F2857" s="3"/>
      <c r="G2857" s="3"/>
      <c r="H2857" s="3"/>
      <c r="I2857" s="3"/>
      <c r="J2857" s="3"/>
    </row>
    <row r="2858" spans="4:10" s="22" customFormat="1" x14ac:dyDescent="0.35">
      <c r="D2858" s="3"/>
      <c r="E2858" s="3"/>
      <c r="F2858" s="3"/>
      <c r="G2858" s="3"/>
      <c r="H2858" s="3"/>
      <c r="I2858" s="3"/>
      <c r="J2858" s="3"/>
    </row>
    <row r="2859" spans="4:10" s="22" customFormat="1" x14ac:dyDescent="0.35">
      <c r="D2859" s="3"/>
      <c r="E2859" s="3"/>
      <c r="F2859" s="3"/>
      <c r="G2859" s="3"/>
      <c r="H2859" s="3"/>
      <c r="I2859" s="3"/>
      <c r="J2859" s="3"/>
    </row>
    <row r="2860" spans="4:10" s="22" customFormat="1" x14ac:dyDescent="0.35">
      <c r="D2860" s="3"/>
      <c r="E2860" s="3"/>
      <c r="F2860" s="3"/>
      <c r="G2860" s="3"/>
      <c r="H2860" s="3"/>
      <c r="I2860" s="3"/>
      <c r="J2860" s="3"/>
    </row>
    <row r="2861" spans="4:10" s="22" customFormat="1" x14ac:dyDescent="0.35">
      <c r="D2861" s="3"/>
      <c r="E2861" s="3"/>
      <c r="F2861" s="3"/>
      <c r="G2861" s="3"/>
      <c r="H2861" s="3"/>
      <c r="I2861" s="3"/>
      <c r="J2861" s="3"/>
    </row>
    <row r="2862" spans="4:10" s="22" customFormat="1" x14ac:dyDescent="0.35">
      <c r="D2862" s="3"/>
      <c r="E2862" s="3"/>
      <c r="F2862" s="3"/>
      <c r="G2862" s="3"/>
      <c r="H2862" s="3"/>
      <c r="I2862" s="3"/>
      <c r="J2862" s="3"/>
    </row>
    <row r="2863" spans="4:10" s="22" customFormat="1" x14ac:dyDescent="0.35">
      <c r="D2863" s="3"/>
      <c r="E2863" s="3"/>
      <c r="F2863" s="3"/>
      <c r="G2863" s="3"/>
      <c r="H2863" s="3"/>
      <c r="I2863" s="3"/>
      <c r="J2863" s="3"/>
    </row>
    <row r="2864" spans="4:10" s="22" customFormat="1" x14ac:dyDescent="0.35">
      <c r="D2864" s="3"/>
      <c r="E2864" s="3"/>
      <c r="F2864" s="3"/>
      <c r="G2864" s="3"/>
      <c r="H2864" s="3"/>
      <c r="I2864" s="3"/>
      <c r="J2864" s="3"/>
    </row>
    <row r="2865" spans="4:10" s="22" customFormat="1" x14ac:dyDescent="0.35">
      <c r="D2865" s="3"/>
      <c r="E2865" s="3"/>
      <c r="F2865" s="3"/>
      <c r="G2865" s="3"/>
      <c r="H2865" s="3"/>
      <c r="I2865" s="3"/>
      <c r="J2865" s="3"/>
    </row>
    <row r="2866" spans="4:10" s="22" customFormat="1" x14ac:dyDescent="0.35">
      <c r="D2866" s="3"/>
      <c r="E2866" s="3"/>
      <c r="F2866" s="3"/>
      <c r="G2866" s="3"/>
      <c r="H2866" s="3"/>
      <c r="I2866" s="3"/>
      <c r="J2866" s="3"/>
    </row>
    <row r="2867" spans="4:10" s="22" customFormat="1" x14ac:dyDescent="0.35">
      <c r="D2867" s="3"/>
      <c r="E2867" s="3"/>
      <c r="F2867" s="3"/>
      <c r="G2867" s="3"/>
      <c r="H2867" s="3"/>
      <c r="I2867" s="3"/>
      <c r="J2867" s="3"/>
    </row>
    <row r="2868" spans="4:10" s="22" customFormat="1" x14ac:dyDescent="0.35">
      <c r="D2868" s="3"/>
      <c r="E2868" s="3"/>
      <c r="F2868" s="3"/>
      <c r="G2868" s="3"/>
      <c r="H2868" s="3"/>
      <c r="I2868" s="3"/>
      <c r="J2868" s="3"/>
    </row>
    <row r="2869" spans="4:10" s="22" customFormat="1" x14ac:dyDescent="0.35">
      <c r="D2869" s="3"/>
      <c r="E2869" s="3"/>
      <c r="F2869" s="3"/>
      <c r="G2869" s="3"/>
      <c r="H2869" s="3"/>
      <c r="I2869" s="3"/>
      <c r="J2869" s="3"/>
    </row>
    <row r="2870" spans="4:10" s="22" customFormat="1" x14ac:dyDescent="0.35">
      <c r="D2870" s="3"/>
      <c r="E2870" s="3"/>
      <c r="F2870" s="3"/>
      <c r="G2870" s="3"/>
      <c r="H2870" s="3"/>
      <c r="I2870" s="3"/>
      <c r="J2870" s="3"/>
    </row>
    <row r="2871" spans="4:10" s="22" customFormat="1" x14ac:dyDescent="0.35">
      <c r="D2871" s="3"/>
      <c r="E2871" s="3"/>
      <c r="F2871" s="3"/>
      <c r="G2871" s="3"/>
      <c r="H2871" s="3"/>
      <c r="I2871" s="3"/>
      <c r="J2871" s="3"/>
    </row>
    <row r="2872" spans="4:10" s="22" customFormat="1" x14ac:dyDescent="0.35">
      <c r="D2872" s="3"/>
      <c r="E2872" s="3"/>
      <c r="F2872" s="3"/>
      <c r="G2872" s="3"/>
      <c r="H2872" s="3"/>
      <c r="I2872" s="3"/>
      <c r="J2872" s="3"/>
    </row>
    <row r="2873" spans="4:10" s="22" customFormat="1" x14ac:dyDescent="0.35">
      <c r="D2873" s="3"/>
      <c r="E2873" s="3"/>
      <c r="F2873" s="3"/>
      <c r="G2873" s="3"/>
      <c r="H2873" s="3"/>
      <c r="I2873" s="3"/>
      <c r="J2873" s="3"/>
    </row>
    <row r="2874" spans="4:10" s="22" customFormat="1" x14ac:dyDescent="0.35">
      <c r="D2874" s="3"/>
      <c r="E2874" s="3"/>
      <c r="F2874" s="3"/>
      <c r="G2874" s="3"/>
      <c r="H2874" s="3"/>
      <c r="I2874" s="3"/>
      <c r="J2874" s="3"/>
    </row>
    <row r="2875" spans="4:10" s="22" customFormat="1" x14ac:dyDescent="0.35">
      <c r="D2875" s="3"/>
      <c r="E2875" s="3"/>
      <c r="F2875" s="3"/>
      <c r="G2875" s="3"/>
      <c r="H2875" s="3"/>
      <c r="I2875" s="3"/>
      <c r="J2875" s="3"/>
    </row>
    <row r="2876" spans="4:10" s="22" customFormat="1" x14ac:dyDescent="0.35">
      <c r="D2876" s="3"/>
      <c r="E2876" s="3"/>
      <c r="F2876" s="3"/>
      <c r="G2876" s="3"/>
      <c r="H2876" s="3"/>
      <c r="I2876" s="3"/>
      <c r="J2876" s="3"/>
    </row>
    <row r="2877" spans="4:10" s="22" customFormat="1" x14ac:dyDescent="0.35">
      <c r="D2877" s="3"/>
      <c r="E2877" s="3"/>
      <c r="F2877" s="3"/>
      <c r="G2877" s="3"/>
      <c r="H2877" s="3"/>
      <c r="I2877" s="3"/>
      <c r="J2877" s="3"/>
    </row>
    <row r="2878" spans="4:10" s="22" customFormat="1" x14ac:dyDescent="0.35">
      <c r="D2878" s="3"/>
      <c r="E2878" s="3"/>
      <c r="F2878" s="3"/>
      <c r="G2878" s="3"/>
      <c r="H2878" s="3"/>
      <c r="I2878" s="3"/>
      <c r="J2878" s="3"/>
    </row>
    <row r="2879" spans="4:10" s="22" customFormat="1" x14ac:dyDescent="0.35">
      <c r="D2879" s="3"/>
      <c r="E2879" s="3"/>
      <c r="F2879" s="3"/>
      <c r="G2879" s="3"/>
      <c r="H2879" s="3"/>
      <c r="I2879" s="3"/>
      <c r="J2879" s="3"/>
    </row>
    <row r="2880" spans="4:10" s="22" customFormat="1" x14ac:dyDescent="0.35">
      <c r="D2880" s="3"/>
      <c r="E2880" s="3"/>
      <c r="F2880" s="3"/>
      <c r="G2880" s="3"/>
      <c r="H2880" s="3"/>
      <c r="I2880" s="3"/>
      <c r="J2880" s="3"/>
    </row>
    <row r="2881" spans="4:10" s="22" customFormat="1" x14ac:dyDescent="0.35">
      <c r="D2881" s="3"/>
      <c r="E2881" s="3"/>
      <c r="F2881" s="3"/>
      <c r="G2881" s="3"/>
      <c r="H2881" s="3"/>
      <c r="I2881" s="3"/>
      <c r="J2881" s="3"/>
    </row>
    <row r="2882" spans="4:10" s="22" customFormat="1" x14ac:dyDescent="0.35">
      <c r="D2882" s="3"/>
      <c r="E2882" s="3"/>
      <c r="F2882" s="3"/>
      <c r="G2882" s="3"/>
      <c r="H2882" s="3"/>
      <c r="I2882" s="3"/>
      <c r="J2882" s="3"/>
    </row>
    <row r="2883" spans="4:10" s="22" customFormat="1" x14ac:dyDescent="0.35">
      <c r="D2883" s="3"/>
      <c r="E2883" s="3"/>
      <c r="F2883" s="3"/>
      <c r="G2883" s="3"/>
      <c r="H2883" s="3"/>
      <c r="I2883" s="3"/>
      <c r="J2883" s="3"/>
    </row>
    <row r="2884" spans="4:10" s="22" customFormat="1" x14ac:dyDescent="0.35">
      <c r="D2884" s="3"/>
      <c r="E2884" s="3"/>
      <c r="F2884" s="3"/>
      <c r="G2884" s="3"/>
      <c r="H2884" s="3"/>
      <c r="I2884" s="3"/>
      <c r="J2884" s="3"/>
    </row>
    <row r="2885" spans="4:10" s="22" customFormat="1" x14ac:dyDescent="0.35">
      <c r="D2885" s="3"/>
      <c r="E2885" s="3"/>
      <c r="F2885" s="3"/>
      <c r="G2885" s="3"/>
      <c r="H2885" s="3"/>
      <c r="I2885" s="3"/>
      <c r="J2885" s="3"/>
    </row>
    <row r="2886" spans="4:10" s="22" customFormat="1" x14ac:dyDescent="0.35">
      <c r="D2886" s="3"/>
      <c r="E2886" s="3"/>
      <c r="F2886" s="3"/>
      <c r="G2886" s="3"/>
      <c r="H2886" s="3"/>
      <c r="I2886" s="3"/>
      <c r="J2886" s="3"/>
    </row>
    <row r="2887" spans="4:10" s="22" customFormat="1" x14ac:dyDescent="0.35">
      <c r="D2887" s="3"/>
      <c r="E2887" s="3"/>
      <c r="F2887" s="3"/>
      <c r="G2887" s="3"/>
      <c r="H2887" s="3"/>
      <c r="I2887" s="3"/>
      <c r="J2887" s="3"/>
    </row>
    <row r="2888" spans="4:10" s="22" customFormat="1" x14ac:dyDescent="0.35">
      <c r="D2888" s="3"/>
      <c r="E2888" s="3"/>
      <c r="F2888" s="3"/>
      <c r="G2888" s="3"/>
      <c r="H2888" s="3"/>
      <c r="I2888" s="3"/>
      <c r="J2888" s="3"/>
    </row>
    <row r="2889" spans="4:10" s="22" customFormat="1" x14ac:dyDescent="0.35">
      <c r="D2889" s="3"/>
      <c r="E2889" s="3"/>
      <c r="F2889" s="3"/>
      <c r="G2889" s="3"/>
      <c r="H2889" s="3"/>
      <c r="I2889" s="3"/>
      <c r="J2889" s="3"/>
    </row>
    <row r="2890" spans="4:10" s="22" customFormat="1" x14ac:dyDescent="0.35">
      <c r="D2890" s="3"/>
      <c r="E2890" s="3"/>
      <c r="F2890" s="3"/>
      <c r="G2890" s="3"/>
      <c r="H2890" s="3"/>
      <c r="I2890" s="3"/>
      <c r="J2890" s="3"/>
    </row>
    <row r="2891" spans="4:10" s="22" customFormat="1" x14ac:dyDescent="0.35">
      <c r="D2891" s="3"/>
      <c r="E2891" s="3"/>
      <c r="F2891" s="3"/>
      <c r="G2891" s="3"/>
      <c r="H2891" s="3"/>
      <c r="I2891" s="3"/>
      <c r="J2891" s="3"/>
    </row>
    <row r="2892" spans="4:10" s="22" customFormat="1" x14ac:dyDescent="0.35">
      <c r="D2892" s="3"/>
      <c r="E2892" s="3"/>
      <c r="F2892" s="3"/>
      <c r="G2892" s="3"/>
      <c r="H2892" s="3"/>
      <c r="I2892" s="3"/>
      <c r="J2892" s="3"/>
    </row>
    <row r="2893" spans="4:10" s="22" customFormat="1" x14ac:dyDescent="0.35">
      <c r="D2893" s="3"/>
      <c r="E2893" s="3"/>
      <c r="F2893" s="3"/>
      <c r="G2893" s="3"/>
      <c r="H2893" s="3"/>
      <c r="I2893" s="3"/>
      <c r="J2893" s="3"/>
    </row>
    <row r="2894" spans="4:10" s="22" customFormat="1" x14ac:dyDescent="0.35">
      <c r="D2894" s="3"/>
      <c r="E2894" s="3"/>
      <c r="F2894" s="3"/>
      <c r="G2894" s="3"/>
      <c r="H2894" s="3"/>
      <c r="I2894" s="3"/>
      <c r="J2894" s="3"/>
    </row>
    <row r="2895" spans="4:10" s="22" customFormat="1" x14ac:dyDescent="0.35">
      <c r="D2895" s="3"/>
      <c r="E2895" s="3"/>
      <c r="F2895" s="3"/>
      <c r="G2895" s="3"/>
      <c r="H2895" s="3"/>
      <c r="I2895" s="3"/>
      <c r="J2895" s="3"/>
    </row>
    <row r="2896" spans="4:10" s="22" customFormat="1" x14ac:dyDescent="0.35">
      <c r="D2896" s="3"/>
      <c r="E2896" s="3"/>
      <c r="F2896" s="3"/>
      <c r="G2896" s="3"/>
      <c r="H2896" s="3"/>
      <c r="I2896" s="3"/>
      <c r="J2896" s="3"/>
    </row>
    <row r="2897" spans="4:10" s="22" customFormat="1" x14ac:dyDescent="0.35">
      <c r="D2897" s="3"/>
      <c r="E2897" s="3"/>
      <c r="F2897" s="3"/>
      <c r="G2897" s="3"/>
      <c r="H2897" s="3"/>
      <c r="I2897" s="3"/>
      <c r="J2897" s="3"/>
    </row>
    <row r="2898" spans="4:10" s="22" customFormat="1" x14ac:dyDescent="0.35">
      <c r="D2898" s="3"/>
      <c r="E2898" s="3"/>
      <c r="F2898" s="3"/>
      <c r="G2898" s="3"/>
      <c r="H2898" s="3"/>
      <c r="I2898" s="3"/>
      <c r="J2898" s="3"/>
    </row>
    <row r="2899" spans="4:10" s="22" customFormat="1" x14ac:dyDescent="0.35">
      <c r="D2899" s="3"/>
      <c r="E2899" s="3"/>
      <c r="F2899" s="3"/>
      <c r="G2899" s="3"/>
      <c r="H2899" s="3"/>
      <c r="I2899" s="3"/>
      <c r="J2899" s="3"/>
    </row>
    <row r="2900" spans="4:10" s="22" customFormat="1" x14ac:dyDescent="0.35">
      <c r="D2900" s="3"/>
      <c r="E2900" s="3"/>
      <c r="F2900" s="3"/>
      <c r="G2900" s="3"/>
      <c r="H2900" s="3"/>
      <c r="I2900" s="3"/>
      <c r="J2900" s="3"/>
    </row>
    <row r="2901" spans="4:10" s="22" customFormat="1" x14ac:dyDescent="0.35">
      <c r="D2901" s="3"/>
      <c r="E2901" s="3"/>
      <c r="F2901" s="3"/>
      <c r="G2901" s="3"/>
      <c r="H2901" s="3"/>
      <c r="I2901" s="3"/>
      <c r="J2901" s="3"/>
    </row>
    <row r="2902" spans="4:10" s="22" customFormat="1" x14ac:dyDescent="0.35">
      <c r="D2902" s="3"/>
      <c r="E2902" s="3"/>
      <c r="F2902" s="3"/>
      <c r="G2902" s="3"/>
      <c r="H2902" s="3"/>
      <c r="I2902" s="3"/>
      <c r="J2902" s="3"/>
    </row>
    <row r="2903" spans="4:10" s="22" customFormat="1" x14ac:dyDescent="0.35">
      <c r="D2903" s="3"/>
      <c r="E2903" s="3"/>
      <c r="F2903" s="3"/>
      <c r="G2903" s="3"/>
      <c r="H2903" s="3"/>
      <c r="I2903" s="3"/>
      <c r="J2903" s="3"/>
    </row>
    <row r="2904" spans="4:10" s="22" customFormat="1" x14ac:dyDescent="0.35">
      <c r="D2904" s="3"/>
      <c r="E2904" s="3"/>
      <c r="F2904" s="3"/>
      <c r="G2904" s="3"/>
      <c r="H2904" s="3"/>
      <c r="I2904" s="3"/>
      <c r="J2904" s="3"/>
    </row>
    <row r="2905" spans="4:10" s="22" customFormat="1" x14ac:dyDescent="0.35">
      <c r="D2905" s="3"/>
      <c r="E2905" s="3"/>
      <c r="F2905" s="3"/>
      <c r="G2905" s="3"/>
      <c r="H2905" s="3"/>
      <c r="I2905" s="3"/>
      <c r="J2905" s="3"/>
    </row>
    <row r="2906" spans="4:10" s="22" customFormat="1" x14ac:dyDescent="0.35">
      <c r="D2906" s="3"/>
      <c r="E2906" s="3"/>
      <c r="F2906" s="3"/>
      <c r="G2906" s="3"/>
      <c r="H2906" s="3"/>
      <c r="I2906" s="3"/>
      <c r="J2906" s="3"/>
    </row>
    <row r="2907" spans="4:10" s="22" customFormat="1" x14ac:dyDescent="0.35">
      <c r="D2907" s="3"/>
      <c r="E2907" s="3"/>
      <c r="F2907" s="3"/>
      <c r="G2907" s="3"/>
      <c r="H2907" s="3"/>
      <c r="I2907" s="3"/>
      <c r="J2907" s="3"/>
    </row>
    <row r="2908" spans="4:10" s="22" customFormat="1" x14ac:dyDescent="0.35">
      <c r="D2908" s="3"/>
      <c r="E2908" s="3"/>
      <c r="F2908" s="3"/>
      <c r="G2908" s="3"/>
      <c r="H2908" s="3"/>
      <c r="I2908" s="3"/>
      <c r="J2908" s="3"/>
    </row>
    <row r="2909" spans="4:10" s="22" customFormat="1" x14ac:dyDescent="0.35">
      <c r="D2909" s="3"/>
      <c r="E2909" s="3"/>
      <c r="F2909" s="3"/>
      <c r="G2909" s="3"/>
      <c r="H2909" s="3"/>
      <c r="I2909" s="3"/>
      <c r="J2909" s="3"/>
    </row>
    <row r="2910" spans="4:10" s="22" customFormat="1" x14ac:dyDescent="0.35">
      <c r="D2910" s="3"/>
      <c r="E2910" s="3"/>
      <c r="F2910" s="3"/>
      <c r="G2910" s="3"/>
      <c r="H2910" s="3"/>
      <c r="I2910" s="3"/>
      <c r="J2910" s="3"/>
    </row>
    <row r="2911" spans="4:10" s="22" customFormat="1" x14ac:dyDescent="0.35">
      <c r="D2911" s="3"/>
      <c r="E2911" s="3"/>
      <c r="F2911" s="3"/>
      <c r="G2911" s="3"/>
      <c r="H2911" s="3"/>
      <c r="I2911" s="3"/>
      <c r="J2911" s="3"/>
    </row>
    <row r="2912" spans="4:10" s="22" customFormat="1" x14ac:dyDescent="0.35">
      <c r="D2912" s="3"/>
      <c r="E2912" s="3"/>
      <c r="F2912" s="3"/>
      <c r="G2912" s="3"/>
      <c r="H2912" s="3"/>
      <c r="I2912" s="3"/>
      <c r="J2912" s="3"/>
    </row>
    <row r="2913" spans="4:10" s="22" customFormat="1" x14ac:dyDescent="0.35">
      <c r="D2913" s="3"/>
      <c r="E2913" s="3"/>
      <c r="F2913" s="3"/>
      <c r="G2913" s="3"/>
      <c r="H2913" s="3"/>
      <c r="I2913" s="3"/>
      <c r="J2913" s="3"/>
    </row>
    <row r="2914" spans="4:10" s="22" customFormat="1" x14ac:dyDescent="0.35">
      <c r="D2914" s="3"/>
      <c r="E2914" s="3"/>
      <c r="F2914" s="3"/>
      <c r="G2914" s="3"/>
      <c r="H2914" s="3"/>
      <c r="I2914" s="3"/>
      <c r="J2914" s="3"/>
    </row>
    <row r="2915" spans="4:10" s="22" customFormat="1" x14ac:dyDescent="0.35">
      <c r="D2915" s="3"/>
      <c r="E2915" s="3"/>
      <c r="F2915" s="3"/>
      <c r="G2915" s="3"/>
      <c r="H2915" s="3"/>
      <c r="I2915" s="3"/>
      <c r="J2915" s="3"/>
    </row>
    <row r="2916" spans="4:10" s="22" customFormat="1" x14ac:dyDescent="0.35">
      <c r="D2916" s="3"/>
      <c r="E2916" s="3"/>
      <c r="F2916" s="3"/>
      <c r="G2916" s="3"/>
      <c r="H2916" s="3"/>
      <c r="I2916" s="3"/>
      <c r="J2916" s="3"/>
    </row>
    <row r="2917" spans="4:10" s="22" customFormat="1" x14ac:dyDescent="0.35">
      <c r="D2917" s="3"/>
      <c r="E2917" s="3"/>
      <c r="F2917" s="3"/>
      <c r="G2917" s="3"/>
      <c r="H2917" s="3"/>
      <c r="I2917" s="3"/>
      <c r="J2917" s="3"/>
    </row>
    <row r="2918" spans="4:10" s="22" customFormat="1" x14ac:dyDescent="0.35">
      <c r="D2918" s="3"/>
      <c r="E2918" s="3"/>
      <c r="F2918" s="3"/>
      <c r="G2918" s="3"/>
      <c r="H2918" s="3"/>
      <c r="I2918" s="3"/>
      <c r="J2918" s="3"/>
    </row>
    <row r="2919" spans="4:10" s="22" customFormat="1" x14ac:dyDescent="0.35">
      <c r="D2919" s="3"/>
      <c r="E2919" s="3"/>
      <c r="F2919" s="3"/>
      <c r="G2919" s="3"/>
      <c r="H2919" s="3"/>
      <c r="I2919" s="3"/>
      <c r="J2919" s="3"/>
    </row>
    <row r="2920" spans="4:10" s="22" customFormat="1" x14ac:dyDescent="0.35">
      <c r="D2920" s="3"/>
      <c r="E2920" s="3"/>
      <c r="F2920" s="3"/>
      <c r="G2920" s="3"/>
      <c r="H2920" s="3"/>
      <c r="I2920" s="3"/>
      <c r="J2920" s="3"/>
    </row>
    <row r="2921" spans="4:10" s="22" customFormat="1" x14ac:dyDescent="0.35">
      <c r="D2921" s="3"/>
      <c r="E2921" s="3"/>
      <c r="F2921" s="3"/>
      <c r="G2921" s="3"/>
      <c r="H2921" s="3"/>
      <c r="I2921" s="3"/>
      <c r="J2921" s="3"/>
    </row>
    <row r="2922" spans="4:10" s="22" customFormat="1" x14ac:dyDescent="0.35">
      <c r="D2922" s="3"/>
      <c r="E2922" s="3"/>
      <c r="F2922" s="3"/>
      <c r="G2922" s="3"/>
      <c r="H2922" s="3"/>
      <c r="I2922" s="3"/>
      <c r="J2922" s="3"/>
    </row>
    <row r="2923" spans="4:10" s="22" customFormat="1" x14ac:dyDescent="0.35">
      <c r="D2923" s="3"/>
      <c r="E2923" s="3"/>
      <c r="F2923" s="3"/>
      <c r="G2923" s="3"/>
      <c r="H2923" s="3"/>
      <c r="I2923" s="3"/>
      <c r="J2923" s="3"/>
    </row>
    <row r="2924" spans="4:10" s="22" customFormat="1" x14ac:dyDescent="0.35">
      <c r="D2924" s="3"/>
      <c r="E2924" s="3"/>
      <c r="F2924" s="3"/>
      <c r="G2924" s="3"/>
      <c r="H2924" s="3"/>
      <c r="I2924" s="3"/>
      <c r="J2924" s="3"/>
    </row>
    <row r="2925" spans="4:10" s="22" customFormat="1" x14ac:dyDescent="0.35">
      <c r="D2925" s="3"/>
      <c r="E2925" s="3"/>
      <c r="F2925" s="3"/>
      <c r="G2925" s="3"/>
      <c r="H2925" s="3"/>
      <c r="I2925" s="3"/>
      <c r="J2925" s="3"/>
    </row>
    <row r="2926" spans="4:10" s="22" customFormat="1" x14ac:dyDescent="0.35">
      <c r="D2926" s="3"/>
      <c r="E2926" s="3"/>
      <c r="F2926" s="3"/>
      <c r="G2926" s="3"/>
      <c r="H2926" s="3"/>
      <c r="I2926" s="3"/>
      <c r="J2926" s="3"/>
    </row>
    <row r="2927" spans="4:10" s="22" customFormat="1" x14ac:dyDescent="0.35">
      <c r="D2927" s="3"/>
      <c r="E2927" s="3"/>
      <c r="F2927" s="3"/>
      <c r="G2927" s="3"/>
      <c r="H2927" s="3"/>
      <c r="I2927" s="3"/>
      <c r="J2927" s="3"/>
    </row>
    <row r="2928" spans="4:10" s="22" customFormat="1" x14ac:dyDescent="0.35">
      <c r="D2928" s="3"/>
      <c r="E2928" s="3"/>
      <c r="F2928" s="3"/>
      <c r="G2928" s="3"/>
      <c r="H2928" s="3"/>
      <c r="I2928" s="3"/>
      <c r="J2928" s="3"/>
    </row>
    <row r="2929" spans="4:10" s="22" customFormat="1" x14ac:dyDescent="0.35">
      <c r="D2929" s="3"/>
      <c r="E2929" s="3"/>
      <c r="F2929" s="3"/>
      <c r="G2929" s="3"/>
      <c r="H2929" s="3"/>
      <c r="I2929" s="3"/>
      <c r="J2929" s="3"/>
    </row>
    <row r="2930" spans="4:10" s="22" customFormat="1" x14ac:dyDescent="0.35">
      <c r="D2930" s="3"/>
      <c r="E2930" s="3"/>
      <c r="F2930" s="3"/>
      <c r="G2930" s="3"/>
      <c r="H2930" s="3"/>
      <c r="I2930" s="3"/>
      <c r="J2930" s="3"/>
    </row>
    <row r="2931" spans="4:10" s="22" customFormat="1" x14ac:dyDescent="0.35">
      <c r="D2931" s="3"/>
      <c r="E2931" s="3"/>
      <c r="F2931" s="3"/>
      <c r="G2931" s="3"/>
      <c r="H2931" s="3"/>
      <c r="I2931" s="3"/>
      <c r="J2931" s="3"/>
    </row>
    <row r="2932" spans="4:10" s="22" customFormat="1" x14ac:dyDescent="0.35">
      <c r="D2932" s="3"/>
      <c r="E2932" s="3"/>
      <c r="F2932" s="3"/>
      <c r="G2932" s="3"/>
      <c r="H2932" s="3"/>
      <c r="I2932" s="3"/>
      <c r="J2932" s="3"/>
    </row>
    <row r="2933" spans="4:10" s="22" customFormat="1" x14ac:dyDescent="0.35">
      <c r="D2933" s="3"/>
      <c r="E2933" s="3"/>
      <c r="F2933" s="3"/>
      <c r="G2933" s="3"/>
      <c r="H2933" s="3"/>
      <c r="I2933" s="3"/>
      <c r="J2933" s="3"/>
    </row>
    <row r="2934" spans="4:10" s="22" customFormat="1" x14ac:dyDescent="0.35">
      <c r="D2934" s="3"/>
      <c r="E2934" s="3"/>
      <c r="F2934" s="3"/>
      <c r="G2934" s="3"/>
      <c r="H2934" s="3"/>
      <c r="I2934" s="3"/>
      <c r="J2934" s="3"/>
    </row>
    <row r="2935" spans="4:10" s="22" customFormat="1" x14ac:dyDescent="0.35">
      <c r="D2935" s="3"/>
      <c r="E2935" s="3"/>
      <c r="F2935" s="3"/>
      <c r="G2935" s="3"/>
      <c r="H2935" s="3"/>
      <c r="I2935" s="3"/>
      <c r="J2935" s="3"/>
    </row>
    <row r="2936" spans="4:10" s="22" customFormat="1" x14ac:dyDescent="0.35">
      <c r="D2936" s="3"/>
      <c r="E2936" s="3"/>
      <c r="F2936" s="3"/>
      <c r="G2936" s="3"/>
      <c r="H2936" s="3"/>
      <c r="I2936" s="3"/>
      <c r="J2936" s="3"/>
    </row>
    <row r="2937" spans="4:10" s="22" customFormat="1" x14ac:dyDescent="0.35">
      <c r="D2937" s="3"/>
      <c r="E2937" s="3"/>
      <c r="F2937" s="3"/>
      <c r="G2937" s="3"/>
      <c r="H2937" s="3"/>
      <c r="I2937" s="3"/>
      <c r="J2937" s="3"/>
    </row>
    <row r="2938" spans="4:10" s="22" customFormat="1" x14ac:dyDescent="0.35">
      <c r="D2938" s="3"/>
      <c r="E2938" s="3"/>
      <c r="F2938" s="3"/>
      <c r="G2938" s="3"/>
      <c r="H2938" s="3"/>
      <c r="I2938" s="3"/>
      <c r="J2938" s="3"/>
    </row>
    <row r="2939" spans="4:10" s="22" customFormat="1" x14ac:dyDescent="0.35">
      <c r="D2939" s="3"/>
      <c r="E2939" s="3"/>
      <c r="F2939" s="3"/>
      <c r="G2939" s="3"/>
      <c r="H2939" s="3"/>
      <c r="I2939" s="3"/>
      <c r="J2939" s="3"/>
    </row>
    <row r="2940" spans="4:10" s="22" customFormat="1" x14ac:dyDescent="0.35">
      <c r="D2940" s="3"/>
      <c r="E2940" s="3"/>
      <c r="F2940" s="3"/>
      <c r="G2940" s="3"/>
      <c r="H2940" s="3"/>
      <c r="I2940" s="3"/>
      <c r="J2940" s="3"/>
    </row>
    <row r="2941" spans="4:10" s="22" customFormat="1" x14ac:dyDescent="0.35">
      <c r="D2941" s="3"/>
      <c r="E2941" s="3"/>
      <c r="F2941" s="3"/>
      <c r="G2941" s="3"/>
      <c r="H2941" s="3"/>
      <c r="I2941" s="3"/>
      <c r="J2941" s="3"/>
    </row>
    <row r="2942" spans="4:10" s="22" customFormat="1" x14ac:dyDescent="0.35">
      <c r="D2942" s="3"/>
      <c r="E2942" s="3"/>
      <c r="F2942" s="3"/>
      <c r="G2942" s="3"/>
      <c r="H2942" s="3"/>
      <c r="I2942" s="3"/>
      <c r="J2942" s="3"/>
    </row>
    <row r="2943" spans="4:10" s="22" customFormat="1" x14ac:dyDescent="0.35">
      <c r="D2943" s="3"/>
      <c r="E2943" s="3"/>
      <c r="F2943" s="3"/>
      <c r="G2943" s="3"/>
      <c r="H2943" s="3"/>
      <c r="I2943" s="3"/>
      <c r="J2943" s="3"/>
    </row>
    <row r="2944" spans="4:10" s="22" customFormat="1" x14ac:dyDescent="0.35">
      <c r="D2944" s="3"/>
      <c r="E2944" s="3"/>
      <c r="F2944" s="3"/>
      <c r="G2944" s="3"/>
      <c r="H2944" s="3"/>
      <c r="I2944" s="3"/>
      <c r="J2944" s="3"/>
    </row>
    <row r="2945" spans="4:10" s="22" customFormat="1" x14ac:dyDescent="0.35">
      <c r="D2945" s="3"/>
      <c r="E2945" s="3"/>
      <c r="F2945" s="3"/>
      <c r="G2945" s="3"/>
      <c r="H2945" s="3"/>
      <c r="I2945" s="3"/>
      <c r="J2945" s="3"/>
    </row>
    <row r="2946" spans="4:10" s="22" customFormat="1" x14ac:dyDescent="0.35">
      <c r="D2946" s="3"/>
      <c r="E2946" s="3"/>
      <c r="F2946" s="3"/>
      <c r="G2946" s="3"/>
      <c r="H2946" s="3"/>
      <c r="I2946" s="3"/>
      <c r="J2946" s="3"/>
    </row>
    <row r="2947" spans="4:10" s="22" customFormat="1" x14ac:dyDescent="0.35">
      <c r="D2947" s="3"/>
      <c r="E2947" s="3"/>
      <c r="F2947" s="3"/>
      <c r="G2947" s="3"/>
      <c r="H2947" s="3"/>
      <c r="I2947" s="3"/>
      <c r="J2947" s="3"/>
    </row>
    <row r="2948" spans="4:10" s="22" customFormat="1" x14ac:dyDescent="0.35">
      <c r="D2948" s="3"/>
      <c r="E2948" s="3"/>
      <c r="F2948" s="3"/>
      <c r="G2948" s="3"/>
      <c r="H2948" s="3"/>
      <c r="I2948" s="3"/>
      <c r="J2948" s="3"/>
    </row>
    <row r="2949" spans="4:10" s="22" customFormat="1" x14ac:dyDescent="0.35">
      <c r="D2949" s="3"/>
      <c r="E2949" s="3"/>
      <c r="F2949" s="3"/>
      <c r="G2949" s="3"/>
      <c r="H2949" s="3"/>
      <c r="I2949" s="3"/>
      <c r="J2949" s="3"/>
    </row>
    <row r="2950" spans="4:10" s="22" customFormat="1" x14ac:dyDescent="0.35">
      <c r="D2950" s="3"/>
      <c r="E2950" s="3"/>
      <c r="F2950" s="3"/>
      <c r="G2950" s="3"/>
      <c r="H2950" s="3"/>
      <c r="I2950" s="3"/>
      <c r="J2950" s="3"/>
    </row>
    <row r="2951" spans="4:10" s="22" customFormat="1" x14ac:dyDescent="0.35">
      <c r="D2951" s="3"/>
      <c r="E2951" s="3"/>
      <c r="F2951" s="3"/>
      <c r="G2951" s="3"/>
      <c r="H2951" s="3"/>
      <c r="I2951" s="3"/>
      <c r="J2951" s="3"/>
    </row>
    <row r="2952" spans="4:10" s="22" customFormat="1" x14ac:dyDescent="0.35">
      <c r="D2952" s="3"/>
      <c r="E2952" s="3"/>
      <c r="F2952" s="3"/>
      <c r="G2952" s="3"/>
      <c r="H2952" s="3"/>
      <c r="I2952" s="3"/>
      <c r="J2952" s="3"/>
    </row>
    <row r="2953" spans="4:10" s="22" customFormat="1" x14ac:dyDescent="0.35">
      <c r="D2953" s="3"/>
      <c r="E2953" s="3"/>
      <c r="F2953" s="3"/>
      <c r="G2953" s="3"/>
      <c r="H2953" s="3"/>
      <c r="I2953" s="3"/>
      <c r="J2953" s="3"/>
    </row>
    <row r="2954" spans="4:10" s="22" customFormat="1" x14ac:dyDescent="0.35">
      <c r="D2954" s="3"/>
      <c r="E2954" s="3"/>
      <c r="F2954" s="3"/>
      <c r="G2954" s="3"/>
      <c r="H2954" s="3"/>
      <c r="I2954" s="3"/>
      <c r="J2954" s="3"/>
    </row>
    <row r="2955" spans="4:10" s="22" customFormat="1" x14ac:dyDescent="0.35">
      <c r="D2955" s="3"/>
      <c r="E2955" s="3"/>
      <c r="F2955" s="3"/>
      <c r="G2955" s="3"/>
      <c r="H2955" s="3"/>
      <c r="I2955" s="3"/>
      <c r="J2955" s="3"/>
    </row>
    <row r="2956" spans="4:10" s="22" customFormat="1" x14ac:dyDescent="0.35">
      <c r="D2956" s="3"/>
      <c r="E2956" s="3"/>
      <c r="F2956" s="3"/>
      <c r="G2956" s="3"/>
      <c r="H2956" s="3"/>
      <c r="I2956" s="3"/>
      <c r="J2956" s="3"/>
    </row>
    <row r="2957" spans="4:10" s="22" customFormat="1" x14ac:dyDescent="0.35">
      <c r="D2957" s="3"/>
      <c r="E2957" s="3"/>
      <c r="F2957" s="3"/>
      <c r="G2957" s="3"/>
      <c r="H2957" s="3"/>
      <c r="I2957" s="3"/>
      <c r="J2957" s="3"/>
    </row>
    <row r="2958" spans="4:10" s="22" customFormat="1" x14ac:dyDescent="0.35">
      <c r="D2958" s="3"/>
      <c r="E2958" s="3"/>
      <c r="F2958" s="3"/>
      <c r="G2958" s="3"/>
      <c r="H2958" s="3"/>
      <c r="I2958" s="3"/>
      <c r="J2958" s="3"/>
    </row>
    <row r="2959" spans="4:10" s="22" customFormat="1" x14ac:dyDescent="0.35">
      <c r="D2959" s="3"/>
      <c r="E2959" s="3"/>
      <c r="F2959" s="3"/>
      <c r="G2959" s="3"/>
      <c r="H2959" s="3"/>
      <c r="I2959" s="3"/>
      <c r="J2959" s="3"/>
    </row>
    <row r="2960" spans="4:10" s="22" customFormat="1" x14ac:dyDescent="0.35">
      <c r="D2960" s="3"/>
      <c r="E2960" s="3"/>
      <c r="F2960" s="3"/>
      <c r="G2960" s="3"/>
      <c r="H2960" s="3"/>
      <c r="I2960" s="3"/>
      <c r="J2960" s="3"/>
    </row>
    <row r="2961" spans="4:10" s="22" customFormat="1" x14ac:dyDescent="0.35">
      <c r="D2961" s="3"/>
      <c r="E2961" s="3"/>
      <c r="F2961" s="3"/>
      <c r="G2961" s="3"/>
      <c r="H2961" s="3"/>
      <c r="I2961" s="3"/>
      <c r="J2961" s="3"/>
    </row>
    <row r="2962" spans="4:10" s="22" customFormat="1" x14ac:dyDescent="0.35">
      <c r="D2962" s="3"/>
      <c r="E2962" s="3"/>
      <c r="F2962" s="3"/>
      <c r="G2962" s="3"/>
      <c r="H2962" s="3"/>
      <c r="I2962" s="3"/>
      <c r="J2962" s="3"/>
    </row>
    <row r="2963" spans="4:10" s="22" customFormat="1" x14ac:dyDescent="0.35">
      <c r="D2963" s="3"/>
      <c r="E2963" s="3"/>
      <c r="F2963" s="3"/>
      <c r="G2963" s="3"/>
      <c r="H2963" s="3"/>
      <c r="I2963" s="3"/>
      <c r="J2963" s="3"/>
    </row>
    <row r="2964" spans="4:10" s="22" customFormat="1" x14ac:dyDescent="0.35">
      <c r="D2964" s="3"/>
      <c r="E2964" s="3"/>
      <c r="F2964" s="3"/>
      <c r="G2964" s="3"/>
      <c r="H2964" s="3"/>
      <c r="I2964" s="3"/>
      <c r="J2964" s="3"/>
    </row>
    <row r="2965" spans="4:10" s="22" customFormat="1" x14ac:dyDescent="0.35">
      <c r="D2965" s="3"/>
      <c r="E2965" s="3"/>
      <c r="F2965" s="3"/>
      <c r="G2965" s="3"/>
      <c r="H2965" s="3"/>
      <c r="I2965" s="3"/>
      <c r="J2965" s="3"/>
    </row>
    <row r="2966" spans="4:10" s="22" customFormat="1" x14ac:dyDescent="0.35">
      <c r="D2966" s="3" t="s">
        <v>519</v>
      </c>
      <c r="E2966" s="3"/>
      <c r="F2966" s="3"/>
      <c r="G2966" s="3"/>
      <c r="H2966" s="3"/>
      <c r="I2966" s="3"/>
      <c r="J2966" s="3"/>
    </row>
    <row r="2967" spans="4:10" s="22" customFormat="1" x14ac:dyDescent="0.35">
      <c r="D2967" s="3" t="s">
        <v>520</v>
      </c>
      <c r="E2967" s="3"/>
      <c r="F2967" s="3"/>
      <c r="G2967" s="3"/>
      <c r="H2967" s="3"/>
      <c r="I2967" s="3"/>
      <c r="J2967" s="3"/>
    </row>
    <row r="2968" spans="4:10" s="22" customFormat="1" x14ac:dyDescent="0.35">
      <c r="D2968" s="3" t="s">
        <v>276</v>
      </c>
      <c r="E2968" s="3"/>
      <c r="F2968" s="3"/>
      <c r="G2968" s="3"/>
      <c r="H2968" s="3"/>
      <c r="I2968" s="3"/>
      <c r="J2968" s="3"/>
    </row>
    <row r="2969" spans="4:10" s="22" customFormat="1" x14ac:dyDescent="0.35">
      <c r="D2969" s="3" t="s">
        <v>521</v>
      </c>
      <c r="E2969" s="3"/>
      <c r="F2969" s="3"/>
      <c r="G2969" s="3"/>
      <c r="H2969" s="3"/>
      <c r="I2969" s="3"/>
      <c r="J2969" s="3"/>
    </row>
    <row r="2970" spans="4:10" s="22" customFormat="1" x14ac:dyDescent="0.35">
      <c r="D2970" s="3" t="s">
        <v>276</v>
      </c>
      <c r="E2970" s="3"/>
      <c r="F2970" s="3"/>
      <c r="G2970" s="3"/>
      <c r="H2970" s="3"/>
      <c r="I2970" s="3"/>
      <c r="J2970" s="3"/>
    </row>
    <row r="2971" spans="4:10" s="22" customFormat="1" x14ac:dyDescent="0.35">
      <c r="D2971" s="3" t="s">
        <v>522</v>
      </c>
      <c r="E2971" s="3"/>
      <c r="F2971" s="3"/>
      <c r="G2971" s="3"/>
      <c r="H2971" s="3"/>
      <c r="I2971" s="3"/>
      <c r="J2971" s="3"/>
    </row>
    <row r="2972" spans="4:10" s="22" customFormat="1" x14ac:dyDescent="0.35">
      <c r="D2972" s="3" t="s">
        <v>276</v>
      </c>
      <c r="E2972" s="3"/>
      <c r="F2972" s="3"/>
      <c r="G2972" s="3"/>
      <c r="H2972" s="3"/>
      <c r="I2972" s="3"/>
      <c r="J2972" s="3"/>
    </row>
    <row r="2973" spans="4:10" s="22" customFormat="1" x14ac:dyDescent="0.35">
      <c r="D2973" s="3" t="s">
        <v>523</v>
      </c>
      <c r="E2973" s="3"/>
      <c r="F2973" s="3"/>
      <c r="G2973" s="3"/>
      <c r="H2973" s="3"/>
      <c r="I2973" s="3"/>
      <c r="J2973" s="3"/>
    </row>
    <row r="2974" spans="4:10" s="22" customFormat="1" x14ac:dyDescent="0.35">
      <c r="D2974" s="3" t="s">
        <v>276</v>
      </c>
      <c r="E2974" s="3"/>
      <c r="F2974" s="3"/>
      <c r="G2974" s="3"/>
      <c r="H2974" s="3"/>
      <c r="I2974" s="3"/>
      <c r="J2974" s="3"/>
    </row>
    <row r="2975" spans="4:10" s="22" customFormat="1" x14ac:dyDescent="0.35">
      <c r="D2975" s="3" t="s">
        <v>524</v>
      </c>
      <c r="E2975" s="3"/>
      <c r="F2975" s="3"/>
      <c r="G2975" s="3"/>
      <c r="H2975" s="3"/>
      <c r="I2975" s="3"/>
      <c r="J2975" s="3"/>
    </row>
    <row r="2976" spans="4:10" s="22" customFormat="1" x14ac:dyDescent="0.35">
      <c r="D2976" s="3" t="s">
        <v>380</v>
      </c>
      <c r="E2976" s="3"/>
      <c r="F2976" s="3"/>
      <c r="G2976" s="3"/>
      <c r="H2976" s="3"/>
      <c r="I2976" s="3"/>
      <c r="J2976" s="3"/>
    </row>
    <row r="2977" spans="4:10" s="22" customFormat="1" x14ac:dyDescent="0.35">
      <c r="D2977" s="3" t="s">
        <v>525</v>
      </c>
      <c r="E2977" s="3"/>
      <c r="F2977" s="3"/>
      <c r="G2977" s="3"/>
      <c r="H2977" s="3"/>
      <c r="I2977" s="3"/>
      <c r="J2977" s="3"/>
    </row>
    <row r="2978" spans="4:10" s="22" customFormat="1" x14ac:dyDescent="0.35">
      <c r="D2978" s="3"/>
      <c r="E2978" s="3"/>
      <c r="F2978" s="3"/>
      <c r="G2978" s="3"/>
      <c r="H2978" s="3"/>
      <c r="I2978" s="3"/>
      <c r="J2978" s="3"/>
    </row>
    <row r="2979" spans="4:10" s="22" customFormat="1" x14ac:dyDescent="0.35">
      <c r="D2979" s="3" t="s">
        <v>619</v>
      </c>
      <c r="E2979" s="3"/>
      <c r="F2979" s="3"/>
      <c r="G2979" s="3"/>
      <c r="H2979" s="3"/>
      <c r="I2979" s="3"/>
      <c r="J2979" s="3"/>
    </row>
    <row r="2980" spans="4:10" s="22" customFormat="1" x14ac:dyDescent="0.35">
      <c r="D2980" s="3"/>
      <c r="E2980" s="3"/>
      <c r="F2980" s="3"/>
      <c r="G2980" s="3"/>
      <c r="H2980" s="3"/>
      <c r="I2980" s="3"/>
      <c r="J2980" s="3"/>
    </row>
    <row r="2981" spans="4:10" s="22" customFormat="1" x14ac:dyDescent="0.35">
      <c r="D2981" s="3" t="s">
        <v>620</v>
      </c>
      <c r="E2981" s="3"/>
      <c r="F2981" s="3"/>
      <c r="G2981" s="3"/>
      <c r="H2981" s="3"/>
      <c r="I2981" s="3"/>
      <c r="J2981" s="3"/>
    </row>
    <row r="2982" spans="4:10" s="22" customFormat="1" x14ac:dyDescent="0.35">
      <c r="D2982" s="82"/>
      <c r="E2982" s="3"/>
      <c r="F2982" s="3"/>
      <c r="G2982" s="3"/>
      <c r="H2982" s="3"/>
      <c r="I2982" s="3"/>
      <c r="J2982" s="3"/>
    </row>
    <row r="2983" spans="4:10" s="22" customFormat="1" x14ac:dyDescent="0.35">
      <c r="D2983" s="82" t="s">
        <v>621</v>
      </c>
      <c r="E2983" s="3"/>
      <c r="F2983" s="3"/>
      <c r="G2983" s="3"/>
      <c r="H2983" s="3"/>
      <c r="I2983" s="3"/>
      <c r="J2983" s="3"/>
    </row>
    <row r="2984" spans="4:10" s="22" customFormat="1" x14ac:dyDescent="0.35">
      <c r="D2984" s="82" t="s">
        <v>622</v>
      </c>
      <c r="E2984" s="3"/>
      <c r="F2984" s="3"/>
      <c r="G2984" s="3"/>
      <c r="H2984" s="3"/>
      <c r="I2984" s="3"/>
      <c r="J2984" s="3"/>
    </row>
    <row r="2985" spans="4:10" s="22" customFormat="1" x14ac:dyDescent="0.35">
      <c r="D2985" s="82" t="s">
        <v>623</v>
      </c>
      <c r="E2985" s="3"/>
      <c r="F2985" s="3"/>
      <c r="G2985" s="3"/>
      <c r="H2985" s="3"/>
      <c r="I2985" s="3"/>
      <c r="J2985" s="3"/>
    </row>
    <row r="2986" spans="4:10" s="22" customFormat="1" x14ac:dyDescent="0.35">
      <c r="D2986" s="3"/>
      <c r="E2986" s="3"/>
      <c r="F2986" s="3"/>
      <c r="G2986" s="3"/>
      <c r="H2986" s="3"/>
      <c r="I2986" s="3"/>
      <c r="J2986" s="3"/>
    </row>
    <row r="2987" spans="4:10" s="22" customFormat="1" ht="17" x14ac:dyDescent="0.35">
      <c r="D2987" s="92" t="s">
        <v>526</v>
      </c>
      <c r="E2987" s="3"/>
      <c r="F2987" s="3"/>
      <c r="G2987" s="3"/>
      <c r="H2987" s="3"/>
      <c r="I2987" s="3"/>
      <c r="J2987" s="3"/>
    </row>
    <row r="2988" spans="4:10" s="22" customFormat="1" x14ac:dyDescent="0.35">
      <c r="D2988" s="3"/>
      <c r="E2988" s="3"/>
      <c r="F2988" s="3"/>
      <c r="G2988" s="3"/>
      <c r="H2988" s="3"/>
      <c r="I2988" s="3"/>
      <c r="J2988" s="3"/>
    </row>
    <row r="2989" spans="4:10" s="22" customFormat="1" x14ac:dyDescent="0.35">
      <c r="D2989" s="3" t="s">
        <v>624</v>
      </c>
      <c r="E2989" s="3"/>
      <c r="F2989" s="3"/>
      <c r="G2989" s="3"/>
      <c r="H2989" s="3"/>
      <c r="I2989" s="3"/>
      <c r="J2989" s="3"/>
    </row>
    <row r="2990" spans="4:10" s="22" customFormat="1" x14ac:dyDescent="0.35">
      <c r="D2990" s="3"/>
      <c r="E2990" s="3"/>
      <c r="F2990" s="3"/>
      <c r="G2990" s="3"/>
      <c r="H2990" s="3"/>
      <c r="I2990" s="3"/>
      <c r="J2990" s="3"/>
    </row>
    <row r="2991" spans="4:10" s="22" customFormat="1" x14ac:dyDescent="0.35">
      <c r="D2991" s="81" t="s">
        <v>527</v>
      </c>
      <c r="E2991" s="3"/>
      <c r="F2991" s="3"/>
      <c r="G2991" s="3"/>
      <c r="H2991" s="3"/>
      <c r="I2991" s="3"/>
      <c r="J2991" s="3"/>
    </row>
    <row r="2992" spans="4:10" s="22" customFormat="1" x14ac:dyDescent="0.35">
      <c r="D2992" s="82"/>
      <c r="E2992" s="3"/>
      <c r="F2992" s="3"/>
      <c r="G2992" s="3"/>
      <c r="H2992" s="3"/>
      <c r="I2992" s="3"/>
      <c r="J2992" s="3"/>
    </row>
    <row r="2993" spans="4:10" s="22" customFormat="1" x14ac:dyDescent="0.35">
      <c r="D2993" s="82" t="s">
        <v>528</v>
      </c>
      <c r="E2993" s="3"/>
      <c r="F2993" s="3"/>
      <c r="G2993" s="3"/>
      <c r="H2993" s="3"/>
      <c r="I2993" s="3"/>
      <c r="J2993" s="3"/>
    </row>
    <row r="2994" spans="4:10" s="22" customFormat="1" x14ac:dyDescent="0.35">
      <c r="D2994" s="3"/>
      <c r="E2994" s="3"/>
      <c r="F2994" s="3"/>
      <c r="G2994" s="3"/>
      <c r="H2994" s="3"/>
      <c r="I2994" s="3"/>
      <c r="J2994" s="3"/>
    </row>
    <row r="2995" spans="4:10" s="22" customFormat="1" x14ac:dyDescent="0.35">
      <c r="D2995" s="81" t="s">
        <v>529</v>
      </c>
      <c r="E2995" s="3"/>
      <c r="F2995" s="3"/>
      <c r="G2995" s="3"/>
      <c r="H2995" s="3"/>
      <c r="I2995" s="3"/>
      <c r="J2995" s="3"/>
    </row>
    <row r="2996" spans="4:10" s="22" customFormat="1" x14ac:dyDescent="0.35">
      <c r="D2996" s="82"/>
      <c r="E2996" s="3"/>
      <c r="F2996" s="3"/>
      <c r="G2996" s="3"/>
      <c r="H2996" s="3"/>
      <c r="I2996" s="3"/>
      <c r="J2996" s="3"/>
    </row>
    <row r="2997" spans="4:10" s="22" customFormat="1" x14ac:dyDescent="0.35">
      <c r="D2997" s="82" t="s">
        <v>530</v>
      </c>
      <c r="E2997" s="3"/>
      <c r="F2997" s="3"/>
      <c r="G2997" s="3"/>
      <c r="H2997" s="3"/>
      <c r="I2997" s="3"/>
      <c r="J2997" s="3"/>
    </row>
    <row r="2998" spans="4:10" s="22" customFormat="1" x14ac:dyDescent="0.35">
      <c r="D2998" s="3"/>
      <c r="E2998" s="3"/>
      <c r="F2998" s="3"/>
      <c r="G2998" s="3"/>
      <c r="H2998" s="3"/>
      <c r="I2998" s="3"/>
      <c r="J2998" s="3"/>
    </row>
    <row r="2999" spans="4:10" s="22" customFormat="1" x14ac:dyDescent="0.35">
      <c r="D2999" s="3" t="s">
        <v>531</v>
      </c>
      <c r="E2999" s="3"/>
      <c r="F2999" s="3"/>
      <c r="G2999" s="3"/>
      <c r="H2999" s="3"/>
      <c r="I2999" s="3"/>
      <c r="J2999" s="3"/>
    </row>
    <row r="3000" spans="4:10" s="22" customFormat="1" x14ac:dyDescent="0.35">
      <c r="D3000" s="82"/>
      <c r="E3000" s="3"/>
      <c r="F3000" s="3"/>
      <c r="G3000" s="3"/>
      <c r="H3000" s="3"/>
      <c r="I3000" s="3"/>
      <c r="J3000" s="3"/>
    </row>
    <row r="3001" spans="4:10" s="22" customFormat="1" x14ac:dyDescent="0.35">
      <c r="D3001" s="82" t="s">
        <v>625</v>
      </c>
      <c r="E3001" s="3"/>
      <c r="F3001" s="3"/>
      <c r="G3001" s="3"/>
      <c r="H3001" s="3"/>
      <c r="I3001" s="3"/>
      <c r="J3001" s="3"/>
    </row>
    <row r="3002" spans="4:10" s="22" customFormat="1" x14ac:dyDescent="0.35">
      <c r="D3002" s="82" t="s">
        <v>626</v>
      </c>
      <c r="E3002" s="3"/>
      <c r="F3002" s="3"/>
      <c r="G3002" s="3"/>
      <c r="H3002" s="3"/>
      <c r="I3002" s="3"/>
      <c r="J3002" s="3"/>
    </row>
    <row r="3003" spans="4:10" s="22" customFormat="1" x14ac:dyDescent="0.35">
      <c r="D3003" s="82" t="s">
        <v>627</v>
      </c>
      <c r="E3003" s="3"/>
      <c r="F3003" s="3"/>
      <c r="G3003" s="3"/>
      <c r="H3003" s="3"/>
      <c r="I3003" s="3"/>
      <c r="J3003" s="3"/>
    </row>
    <row r="3004" spans="4:10" s="22" customFormat="1" x14ac:dyDescent="0.35">
      <c r="D3004" s="82" t="s">
        <v>532</v>
      </c>
      <c r="E3004" s="3"/>
      <c r="F3004" s="3"/>
      <c r="G3004" s="3"/>
      <c r="H3004" s="3"/>
      <c r="I3004" s="3"/>
      <c r="J3004" s="3"/>
    </row>
    <row r="3005" spans="4:10" s="22" customFormat="1" x14ac:dyDescent="0.35">
      <c r="D3005" s="3"/>
      <c r="E3005" s="3"/>
      <c r="F3005" s="3"/>
      <c r="G3005" s="3"/>
      <c r="H3005" s="3"/>
      <c r="I3005" s="3"/>
      <c r="J3005" s="3"/>
    </row>
    <row r="3006" spans="4:10" s="22" customFormat="1" x14ac:dyDescent="0.35">
      <c r="D3006" s="3" t="s">
        <v>533</v>
      </c>
      <c r="E3006" s="3"/>
      <c r="F3006" s="3"/>
      <c r="G3006" s="3"/>
      <c r="H3006" s="3"/>
      <c r="I3006" s="3"/>
      <c r="J3006" s="3"/>
    </row>
    <row r="3007" spans="4:10" s="22" customFormat="1" x14ac:dyDescent="0.35">
      <c r="D3007" s="3"/>
      <c r="E3007" s="3"/>
      <c r="F3007" s="3"/>
      <c r="G3007" s="3"/>
      <c r="H3007" s="3"/>
      <c r="I3007" s="3"/>
      <c r="J3007" s="3"/>
    </row>
    <row r="3008" spans="4:10" s="22" customFormat="1" x14ac:dyDescent="0.35">
      <c r="D3008" s="3" t="s">
        <v>534</v>
      </c>
      <c r="E3008" s="3"/>
      <c r="F3008" s="3"/>
      <c r="G3008" s="3"/>
      <c r="H3008" s="3"/>
      <c r="I3008" s="3"/>
      <c r="J3008" s="3"/>
    </row>
    <row r="3009" spans="4:10" s="22" customFormat="1" x14ac:dyDescent="0.35">
      <c r="D3009" s="3"/>
      <c r="E3009" s="3"/>
      <c r="F3009" s="3"/>
      <c r="G3009" s="3"/>
      <c r="H3009" s="3"/>
      <c r="I3009" s="3"/>
      <c r="J3009" s="3"/>
    </row>
    <row r="3010" spans="4:10" s="22" customFormat="1" x14ac:dyDescent="0.35">
      <c r="D3010" s="3"/>
      <c r="E3010" s="3"/>
      <c r="F3010" s="3"/>
      <c r="G3010" s="3"/>
      <c r="H3010" s="3"/>
      <c r="I3010" s="3"/>
      <c r="J3010" s="3"/>
    </row>
    <row r="3011" spans="4:10" s="22" customFormat="1" x14ac:dyDescent="0.35">
      <c r="D3011" s="3"/>
      <c r="E3011" s="3"/>
      <c r="F3011" s="3"/>
      <c r="G3011" s="3"/>
      <c r="H3011" s="3"/>
      <c r="I3011" s="3"/>
      <c r="J3011" s="3"/>
    </row>
    <row r="3012" spans="4:10" s="22" customFormat="1" x14ac:dyDescent="0.35">
      <c r="D3012" s="3"/>
      <c r="E3012" s="3"/>
      <c r="F3012" s="3"/>
      <c r="G3012" s="3"/>
      <c r="H3012" s="3"/>
      <c r="I3012" s="3"/>
      <c r="J3012" s="3"/>
    </row>
    <row r="3013" spans="4:10" s="22" customFormat="1" x14ac:dyDescent="0.35">
      <c r="D3013" s="3"/>
      <c r="E3013" s="3"/>
      <c r="F3013" s="3"/>
      <c r="G3013" s="3"/>
      <c r="H3013" s="3"/>
      <c r="I3013" s="3"/>
      <c r="J3013" s="3"/>
    </row>
    <row r="3014" spans="4:10" s="22" customFormat="1" x14ac:dyDescent="0.35">
      <c r="D3014" s="3"/>
      <c r="E3014" s="3"/>
      <c r="F3014" s="3"/>
      <c r="G3014" s="3"/>
      <c r="H3014" s="3"/>
      <c r="I3014" s="3"/>
      <c r="J3014" s="3"/>
    </row>
    <row r="3015" spans="4:10" s="22" customFormat="1" x14ac:dyDescent="0.35">
      <c r="D3015" s="3"/>
      <c r="E3015" s="3"/>
      <c r="F3015" s="3"/>
      <c r="G3015" s="3"/>
      <c r="H3015" s="3"/>
      <c r="I3015" s="3"/>
      <c r="J3015" s="3"/>
    </row>
    <row r="3016" spans="4:10" s="22" customFormat="1" x14ac:dyDescent="0.35">
      <c r="D3016" s="3"/>
      <c r="E3016" s="3"/>
      <c r="F3016" s="3"/>
      <c r="G3016" s="3"/>
      <c r="H3016" s="3"/>
      <c r="I3016" s="3"/>
      <c r="J3016" s="3"/>
    </row>
    <row r="3017" spans="4:10" s="22" customFormat="1" x14ac:dyDescent="0.35">
      <c r="D3017" s="3"/>
      <c r="E3017" s="3"/>
      <c r="F3017" s="3"/>
      <c r="G3017" s="3"/>
      <c r="H3017" s="3"/>
      <c r="I3017" s="3"/>
      <c r="J3017" s="3"/>
    </row>
    <row r="3018" spans="4:10" s="22" customFormat="1" x14ac:dyDescent="0.35">
      <c r="D3018" s="3"/>
      <c r="E3018" s="3"/>
      <c r="F3018" s="3"/>
      <c r="G3018" s="3"/>
      <c r="H3018" s="3"/>
      <c r="I3018" s="3"/>
      <c r="J3018" s="3"/>
    </row>
    <row r="3019" spans="4:10" s="22" customFormat="1" x14ac:dyDescent="0.35">
      <c r="D3019" s="3"/>
      <c r="E3019" s="3"/>
      <c r="F3019" s="3"/>
      <c r="G3019" s="3"/>
      <c r="H3019" s="3"/>
      <c r="I3019" s="3"/>
      <c r="J3019" s="3"/>
    </row>
    <row r="3020" spans="4:10" s="22" customFormat="1" x14ac:dyDescent="0.35">
      <c r="D3020" s="3"/>
      <c r="E3020" s="3"/>
      <c r="F3020" s="3"/>
      <c r="G3020" s="3"/>
      <c r="H3020" s="3"/>
      <c r="I3020" s="3"/>
      <c r="J3020" s="3"/>
    </row>
    <row r="3021" spans="4:10" s="22" customFormat="1" x14ac:dyDescent="0.35">
      <c r="D3021" s="3"/>
      <c r="E3021" s="3"/>
      <c r="F3021" s="3"/>
      <c r="G3021" s="3"/>
      <c r="H3021" s="3"/>
      <c r="I3021" s="3"/>
      <c r="J3021" s="3"/>
    </row>
    <row r="3022" spans="4:10" s="22" customFormat="1" x14ac:dyDescent="0.35">
      <c r="D3022" s="3"/>
      <c r="E3022" s="3"/>
      <c r="F3022" s="3"/>
      <c r="G3022" s="3"/>
      <c r="H3022" s="3"/>
      <c r="I3022" s="3"/>
      <c r="J3022" s="3"/>
    </row>
    <row r="3023" spans="4:10" s="22" customFormat="1" x14ac:dyDescent="0.35">
      <c r="D3023" s="3"/>
      <c r="E3023" s="3"/>
      <c r="F3023" s="3"/>
      <c r="G3023" s="3"/>
      <c r="H3023" s="3"/>
      <c r="I3023" s="3"/>
      <c r="J3023" s="3"/>
    </row>
    <row r="3024" spans="4:10" s="22" customFormat="1" x14ac:dyDescent="0.35">
      <c r="D3024" s="3"/>
      <c r="E3024" s="3"/>
      <c r="F3024" s="3"/>
      <c r="G3024" s="3"/>
      <c r="H3024" s="3"/>
      <c r="I3024" s="3"/>
      <c r="J3024" s="3"/>
    </row>
    <row r="3025" spans="4:10" s="22" customFormat="1" x14ac:dyDescent="0.35">
      <c r="D3025" s="3"/>
      <c r="E3025" s="3"/>
      <c r="F3025" s="3"/>
      <c r="G3025" s="3"/>
      <c r="H3025" s="3"/>
      <c r="I3025" s="3"/>
      <c r="J3025" s="3"/>
    </row>
    <row r="3026" spans="4:10" s="22" customFormat="1" x14ac:dyDescent="0.35">
      <c r="D3026" s="3"/>
      <c r="E3026" s="3"/>
      <c r="F3026" s="3"/>
      <c r="G3026" s="3"/>
      <c r="H3026" s="3"/>
      <c r="I3026" s="3"/>
      <c r="J3026" s="3"/>
    </row>
    <row r="3027" spans="4:10" s="22" customFormat="1" x14ac:dyDescent="0.35">
      <c r="D3027" s="3"/>
      <c r="E3027" s="3"/>
      <c r="F3027" s="3"/>
      <c r="G3027" s="3"/>
      <c r="H3027" s="3"/>
      <c r="I3027" s="3"/>
      <c r="J3027" s="3"/>
    </row>
    <row r="3028" spans="4:10" s="22" customFormat="1" x14ac:dyDescent="0.35">
      <c r="D3028" s="3"/>
      <c r="E3028" s="3"/>
      <c r="F3028" s="3"/>
      <c r="G3028" s="3"/>
      <c r="H3028" s="3"/>
      <c r="I3028" s="3"/>
      <c r="J3028" s="3"/>
    </row>
    <row r="3029" spans="4:10" s="22" customFormat="1" x14ac:dyDescent="0.35">
      <c r="D3029" s="3"/>
      <c r="E3029" s="3"/>
      <c r="F3029" s="3"/>
      <c r="G3029" s="3"/>
      <c r="H3029" s="3"/>
      <c r="I3029" s="3"/>
      <c r="J3029" s="3"/>
    </row>
    <row r="3030" spans="4:10" s="22" customFormat="1" x14ac:dyDescent="0.35">
      <c r="D3030" s="3"/>
      <c r="E3030" s="3"/>
      <c r="F3030" s="3"/>
      <c r="G3030" s="3"/>
      <c r="H3030" s="3"/>
      <c r="I3030" s="3"/>
      <c r="J3030" s="3"/>
    </row>
    <row r="3031" spans="4:10" s="22" customFormat="1" x14ac:dyDescent="0.35">
      <c r="D3031" s="3"/>
      <c r="E3031" s="3"/>
      <c r="F3031" s="3"/>
      <c r="G3031" s="3"/>
      <c r="H3031" s="3"/>
      <c r="I3031" s="3"/>
      <c r="J3031" s="3"/>
    </row>
    <row r="3032" spans="4:10" s="22" customFormat="1" x14ac:dyDescent="0.35">
      <c r="D3032" s="3"/>
      <c r="E3032" s="3"/>
      <c r="F3032" s="3"/>
      <c r="G3032" s="3"/>
      <c r="H3032" s="3"/>
      <c r="I3032" s="3"/>
      <c r="J3032" s="3"/>
    </row>
    <row r="3033" spans="4:10" s="22" customFormat="1" x14ac:dyDescent="0.35">
      <c r="D3033" s="3"/>
      <c r="E3033" s="3"/>
      <c r="F3033" s="3"/>
      <c r="G3033" s="3"/>
      <c r="H3033" s="3"/>
      <c r="I3033" s="3"/>
      <c r="J3033" s="3"/>
    </row>
    <row r="3034" spans="4:10" s="22" customFormat="1" x14ac:dyDescent="0.35">
      <c r="D3034" s="3"/>
      <c r="E3034" s="3"/>
      <c r="F3034" s="3"/>
      <c r="G3034" s="3"/>
      <c r="H3034" s="3"/>
      <c r="I3034" s="3"/>
      <c r="J3034" s="3"/>
    </row>
    <row r="3035" spans="4:10" s="22" customFormat="1" x14ac:dyDescent="0.35">
      <c r="D3035" s="3"/>
      <c r="E3035" s="3"/>
      <c r="F3035" s="3"/>
      <c r="G3035" s="3"/>
      <c r="H3035" s="3"/>
      <c r="I3035" s="3"/>
      <c r="J3035" s="3"/>
    </row>
    <row r="3036" spans="4:10" s="22" customFormat="1" x14ac:dyDescent="0.35">
      <c r="D3036" s="3"/>
      <c r="E3036" s="3"/>
      <c r="F3036" s="3"/>
      <c r="G3036" s="3"/>
      <c r="H3036" s="3"/>
      <c r="I3036" s="3"/>
      <c r="J3036" s="3"/>
    </row>
    <row r="3037" spans="4:10" s="22" customFormat="1" x14ac:dyDescent="0.35">
      <c r="D3037" s="3"/>
      <c r="E3037" s="3"/>
      <c r="F3037" s="3"/>
      <c r="G3037" s="3"/>
      <c r="H3037" s="3"/>
      <c r="I3037" s="3"/>
      <c r="J3037" s="3"/>
    </row>
    <row r="3038" spans="4:10" s="22" customFormat="1" x14ac:dyDescent="0.35">
      <c r="D3038" s="3"/>
      <c r="E3038" s="3"/>
      <c r="F3038" s="3"/>
      <c r="G3038" s="3"/>
      <c r="H3038" s="3"/>
      <c r="I3038" s="3"/>
      <c r="J3038" s="3"/>
    </row>
    <row r="3039" spans="4:10" s="22" customFormat="1" x14ac:dyDescent="0.35">
      <c r="D3039" s="3"/>
      <c r="E3039" s="3"/>
      <c r="F3039" s="3"/>
      <c r="G3039" s="3"/>
      <c r="H3039" s="3"/>
      <c r="I3039" s="3"/>
      <c r="J3039" s="3"/>
    </row>
    <row r="3040" spans="4:10" s="22" customFormat="1" x14ac:dyDescent="0.35">
      <c r="D3040" s="3"/>
      <c r="E3040" s="3"/>
      <c r="F3040" s="3"/>
      <c r="G3040" s="3"/>
      <c r="H3040" s="3"/>
      <c r="I3040" s="3"/>
      <c r="J3040" s="3"/>
    </row>
    <row r="3041" spans="4:10" s="22" customFormat="1" x14ac:dyDescent="0.35">
      <c r="D3041" s="3"/>
      <c r="E3041" s="3"/>
      <c r="F3041" s="3"/>
      <c r="G3041" s="3"/>
      <c r="H3041" s="3"/>
      <c r="I3041" s="3"/>
      <c r="J3041" s="3"/>
    </row>
    <row r="3042" spans="4:10" s="22" customFormat="1" x14ac:dyDescent="0.35">
      <c r="D3042" s="3"/>
      <c r="E3042" s="3"/>
      <c r="F3042" s="3"/>
      <c r="G3042" s="3"/>
      <c r="H3042" s="3"/>
      <c r="I3042" s="3"/>
      <c r="J3042" s="3"/>
    </row>
    <row r="3043" spans="4:10" s="22" customFormat="1" x14ac:dyDescent="0.35">
      <c r="D3043" s="3"/>
      <c r="E3043" s="3"/>
      <c r="F3043" s="3"/>
      <c r="G3043" s="3"/>
      <c r="H3043" s="3"/>
      <c r="I3043" s="3"/>
      <c r="J3043" s="3"/>
    </row>
    <row r="3044" spans="4:10" s="22" customFormat="1" x14ac:dyDescent="0.35">
      <c r="D3044" s="3"/>
      <c r="E3044" s="3"/>
      <c r="F3044" s="3"/>
      <c r="G3044" s="3"/>
      <c r="H3044" s="3"/>
      <c r="I3044" s="3"/>
      <c r="J3044" s="3"/>
    </row>
    <row r="3045" spans="4:10" s="22" customFormat="1" x14ac:dyDescent="0.35">
      <c r="D3045" s="3"/>
      <c r="E3045" s="3"/>
      <c r="F3045" s="3"/>
      <c r="G3045" s="3"/>
      <c r="H3045" s="3"/>
      <c r="I3045" s="3"/>
      <c r="J3045" s="3"/>
    </row>
    <row r="3046" spans="4:10" s="22" customFormat="1" x14ac:dyDescent="0.35">
      <c r="D3046" s="3"/>
      <c r="E3046" s="3"/>
      <c r="F3046" s="3"/>
      <c r="G3046" s="3"/>
      <c r="H3046" s="3"/>
      <c r="I3046" s="3"/>
      <c r="J3046" s="3"/>
    </row>
    <row r="3047" spans="4:10" s="22" customFormat="1" x14ac:dyDescent="0.35">
      <c r="D3047" s="3"/>
      <c r="E3047" s="3"/>
      <c r="F3047" s="3"/>
      <c r="G3047" s="3"/>
      <c r="H3047" s="3"/>
      <c r="I3047" s="3"/>
      <c r="J3047" s="3"/>
    </row>
    <row r="3048" spans="4:10" s="22" customFormat="1" x14ac:dyDescent="0.35">
      <c r="D3048" s="3"/>
      <c r="E3048" s="3"/>
      <c r="F3048" s="3"/>
      <c r="G3048" s="3"/>
      <c r="H3048" s="3"/>
      <c r="I3048" s="3"/>
      <c r="J3048" s="3"/>
    </row>
    <row r="3049" spans="4:10" s="22" customFormat="1" x14ac:dyDescent="0.35">
      <c r="D3049" s="3"/>
      <c r="E3049" s="3"/>
      <c r="F3049" s="3"/>
      <c r="G3049" s="3"/>
      <c r="H3049" s="3"/>
      <c r="I3049" s="3"/>
      <c r="J3049" s="3"/>
    </row>
    <row r="3050" spans="4:10" s="22" customFormat="1" x14ac:dyDescent="0.35">
      <c r="D3050" s="3"/>
      <c r="E3050" s="3"/>
      <c r="F3050" s="3"/>
      <c r="G3050" s="3"/>
      <c r="H3050" s="3"/>
      <c r="I3050" s="3"/>
      <c r="J3050" s="3"/>
    </row>
    <row r="3051" spans="4:10" s="22" customFormat="1" x14ac:dyDescent="0.35">
      <c r="D3051" s="3"/>
      <c r="E3051" s="3"/>
      <c r="F3051" s="3"/>
      <c r="G3051" s="3"/>
      <c r="H3051" s="3"/>
      <c r="I3051" s="3"/>
      <c r="J3051" s="3"/>
    </row>
    <row r="3052" spans="4:10" s="22" customFormat="1" x14ac:dyDescent="0.35">
      <c r="D3052" s="3"/>
      <c r="E3052" s="3"/>
      <c r="F3052" s="3"/>
      <c r="G3052" s="3"/>
      <c r="H3052" s="3"/>
      <c r="I3052" s="3"/>
      <c r="J3052" s="3"/>
    </row>
    <row r="3053" spans="4:10" s="22" customFormat="1" x14ac:dyDescent="0.35">
      <c r="D3053" s="3"/>
      <c r="E3053" s="3"/>
      <c r="F3053" s="3"/>
      <c r="G3053" s="3"/>
      <c r="H3053" s="3"/>
      <c r="I3053" s="3"/>
      <c r="J3053" s="3"/>
    </row>
    <row r="3054" spans="4:10" s="22" customFormat="1" x14ac:dyDescent="0.35">
      <c r="D3054" s="3"/>
      <c r="E3054" s="3"/>
      <c r="F3054" s="3"/>
      <c r="G3054" s="3"/>
      <c r="H3054" s="3"/>
      <c r="I3054" s="3"/>
      <c r="J3054" s="3"/>
    </row>
    <row r="3055" spans="4:10" s="22" customFormat="1" x14ac:dyDescent="0.35">
      <c r="D3055" s="3"/>
      <c r="E3055" s="3"/>
      <c r="F3055" s="3"/>
      <c r="G3055" s="3"/>
      <c r="H3055" s="3"/>
      <c r="I3055" s="3"/>
      <c r="J3055" s="3"/>
    </row>
    <row r="3056" spans="4:10" s="22" customFormat="1" x14ac:dyDescent="0.35">
      <c r="D3056" s="3"/>
      <c r="E3056" s="3"/>
      <c r="F3056" s="3"/>
      <c r="G3056" s="3"/>
      <c r="H3056" s="3"/>
      <c r="I3056" s="3"/>
      <c r="J3056" s="3"/>
    </row>
    <row r="3057" spans="4:10" s="22" customFormat="1" x14ac:dyDescent="0.35">
      <c r="D3057" s="3"/>
      <c r="E3057" s="3"/>
      <c r="F3057" s="3"/>
      <c r="G3057" s="3"/>
      <c r="H3057" s="3"/>
      <c r="I3057" s="3"/>
      <c r="J3057" s="3"/>
    </row>
    <row r="3058" spans="4:10" s="22" customFormat="1" x14ac:dyDescent="0.35">
      <c r="D3058" s="3"/>
      <c r="E3058" s="3"/>
      <c r="F3058" s="3"/>
      <c r="G3058" s="3"/>
      <c r="H3058" s="3"/>
      <c r="I3058" s="3"/>
      <c r="J3058" s="3"/>
    </row>
    <row r="3059" spans="4:10" s="22" customFormat="1" x14ac:dyDescent="0.35">
      <c r="D3059" s="3"/>
      <c r="E3059" s="3"/>
      <c r="F3059" s="3"/>
      <c r="G3059" s="3"/>
      <c r="H3059" s="3"/>
      <c r="I3059" s="3"/>
      <c r="J3059" s="3"/>
    </row>
    <row r="3060" spans="4:10" s="22" customFormat="1" x14ac:dyDescent="0.35">
      <c r="D3060" s="3"/>
      <c r="E3060" s="3"/>
      <c r="F3060" s="3"/>
      <c r="G3060" s="3"/>
      <c r="H3060" s="3"/>
      <c r="I3060" s="3"/>
      <c r="J3060" s="3"/>
    </row>
    <row r="3061" spans="4:10" s="22" customFormat="1" x14ac:dyDescent="0.35">
      <c r="D3061" s="3"/>
      <c r="E3061" s="3"/>
      <c r="F3061" s="3"/>
      <c r="G3061" s="3"/>
      <c r="H3061" s="3"/>
      <c r="I3061" s="3"/>
      <c r="J3061" s="3"/>
    </row>
    <row r="3062" spans="4:10" s="22" customFormat="1" x14ac:dyDescent="0.35">
      <c r="D3062" s="3"/>
      <c r="E3062" s="3"/>
      <c r="F3062" s="3"/>
      <c r="G3062" s="3"/>
      <c r="H3062" s="3"/>
      <c r="I3062" s="3"/>
      <c r="J3062" s="3"/>
    </row>
    <row r="3063" spans="4:10" s="22" customFormat="1" x14ac:dyDescent="0.35">
      <c r="D3063" s="3"/>
      <c r="E3063" s="3"/>
      <c r="F3063" s="3"/>
      <c r="G3063" s="3"/>
      <c r="H3063" s="3"/>
      <c r="I3063" s="3"/>
      <c r="J3063" s="3"/>
    </row>
    <row r="3064" spans="4:10" s="22" customFormat="1" x14ac:dyDescent="0.35">
      <c r="D3064" s="3"/>
      <c r="E3064" s="3"/>
      <c r="F3064" s="3"/>
      <c r="G3064" s="3"/>
      <c r="H3064" s="3"/>
      <c r="I3064" s="3"/>
      <c r="J3064" s="3"/>
    </row>
    <row r="3065" spans="4:10" s="22" customFormat="1" x14ac:dyDescent="0.35">
      <c r="D3065" s="3"/>
      <c r="E3065" s="3"/>
      <c r="F3065" s="3"/>
      <c r="G3065" s="3"/>
      <c r="H3065" s="3"/>
      <c r="I3065" s="3"/>
      <c r="J3065" s="3"/>
    </row>
    <row r="3066" spans="4:10" s="22" customFormat="1" x14ac:dyDescent="0.35">
      <c r="D3066" s="3"/>
      <c r="E3066" s="3"/>
      <c r="F3066" s="3"/>
      <c r="G3066" s="3"/>
      <c r="H3066" s="3"/>
      <c r="I3066" s="3"/>
      <c r="J3066" s="3"/>
    </row>
    <row r="3067" spans="4:10" s="22" customFormat="1" x14ac:dyDescent="0.35">
      <c r="D3067" s="3"/>
      <c r="E3067" s="3"/>
      <c r="F3067" s="3"/>
      <c r="G3067" s="3"/>
      <c r="H3067" s="3"/>
      <c r="I3067" s="3"/>
      <c r="J3067" s="3"/>
    </row>
    <row r="3068" spans="4:10" s="22" customFormat="1" x14ac:dyDescent="0.35">
      <c r="D3068" s="3"/>
      <c r="E3068" s="3"/>
      <c r="F3068" s="3"/>
      <c r="G3068" s="3"/>
      <c r="H3068" s="3"/>
      <c r="I3068" s="3"/>
      <c r="J3068" s="3"/>
    </row>
    <row r="3069" spans="4:10" s="22" customFormat="1" x14ac:dyDescent="0.35">
      <c r="D3069" s="3"/>
      <c r="E3069" s="3"/>
      <c r="F3069" s="3"/>
      <c r="G3069" s="3"/>
      <c r="H3069" s="3"/>
      <c r="I3069" s="3"/>
      <c r="J3069" s="3"/>
    </row>
    <row r="3070" spans="4:10" s="22" customFormat="1" x14ac:dyDescent="0.35">
      <c r="D3070" s="3"/>
      <c r="E3070" s="3"/>
      <c r="F3070" s="3"/>
      <c r="G3070" s="3"/>
      <c r="H3070" s="3"/>
      <c r="I3070" s="3"/>
      <c r="J3070" s="3"/>
    </row>
    <row r="3071" spans="4:10" s="22" customFormat="1" x14ac:dyDescent="0.35">
      <c r="D3071" s="3"/>
      <c r="E3071" s="3"/>
      <c r="F3071" s="3"/>
      <c r="G3071" s="3"/>
      <c r="H3071" s="3"/>
      <c r="I3071" s="3"/>
      <c r="J3071" s="3"/>
    </row>
    <row r="3072" spans="4:10" s="22" customFormat="1" x14ac:dyDescent="0.35">
      <c r="D3072" s="3"/>
      <c r="E3072" s="3"/>
      <c r="F3072" s="3"/>
      <c r="G3072" s="3"/>
      <c r="H3072" s="3"/>
      <c r="I3072" s="3"/>
      <c r="J3072" s="3"/>
    </row>
    <row r="3073" spans="4:10" s="22" customFormat="1" x14ac:dyDescent="0.35">
      <c r="D3073" s="3"/>
      <c r="E3073" s="3"/>
      <c r="F3073" s="3"/>
      <c r="G3073" s="3"/>
      <c r="H3073" s="3"/>
      <c r="I3073" s="3"/>
      <c r="J3073" s="3"/>
    </row>
    <row r="3074" spans="4:10" s="22" customFormat="1" x14ac:dyDescent="0.35">
      <c r="D3074" s="3"/>
      <c r="E3074" s="3"/>
      <c r="F3074" s="3"/>
      <c r="G3074" s="3"/>
      <c r="H3074" s="3"/>
      <c r="I3074" s="3"/>
      <c r="J3074" s="3"/>
    </row>
    <row r="3075" spans="4:10" s="22" customFormat="1" x14ac:dyDescent="0.35">
      <c r="D3075" s="3"/>
      <c r="E3075" s="3"/>
      <c r="F3075" s="3"/>
      <c r="G3075" s="3"/>
      <c r="H3075" s="3"/>
      <c r="I3075" s="3"/>
      <c r="J3075" s="3"/>
    </row>
    <row r="3076" spans="4:10" s="22" customFormat="1" x14ac:dyDescent="0.35">
      <c r="D3076" s="3"/>
      <c r="E3076" s="3"/>
      <c r="F3076" s="3"/>
      <c r="G3076" s="3"/>
      <c r="H3076" s="3"/>
      <c r="I3076" s="3"/>
      <c r="J3076" s="3"/>
    </row>
    <row r="3077" spans="4:10" s="22" customFormat="1" x14ac:dyDescent="0.35">
      <c r="D3077" s="3" t="s">
        <v>535</v>
      </c>
      <c r="E3077" s="3"/>
      <c r="F3077" s="3"/>
      <c r="G3077" s="3"/>
      <c r="H3077" s="3"/>
      <c r="I3077" s="3"/>
      <c r="J3077" s="3"/>
    </row>
    <row r="3078" spans="4:10" s="22" customFormat="1" x14ac:dyDescent="0.35">
      <c r="D3078" s="3" t="s">
        <v>276</v>
      </c>
      <c r="E3078" s="3"/>
      <c r="F3078" s="3"/>
      <c r="G3078" s="3"/>
      <c r="H3078" s="3"/>
      <c r="I3078" s="3"/>
      <c r="J3078" s="3"/>
    </row>
    <row r="3079" spans="4:10" s="22" customFormat="1" x14ac:dyDescent="0.35">
      <c r="D3079" s="3" t="s">
        <v>536</v>
      </c>
      <c r="E3079" s="3"/>
      <c r="F3079" s="3"/>
      <c r="G3079" s="3"/>
      <c r="H3079" s="3"/>
      <c r="I3079" s="3"/>
      <c r="J3079" s="3"/>
    </row>
    <row r="3080" spans="4:10" s="22" customFormat="1" x14ac:dyDescent="0.35">
      <c r="D3080" s="3" t="s">
        <v>276</v>
      </c>
      <c r="E3080" s="3"/>
      <c r="F3080" s="3"/>
      <c r="G3080" s="3"/>
      <c r="H3080" s="3"/>
      <c r="I3080" s="3"/>
      <c r="J3080" s="3"/>
    </row>
    <row r="3081" spans="4:10" s="22" customFormat="1" x14ac:dyDescent="0.35">
      <c r="D3081" s="3" t="s">
        <v>537</v>
      </c>
      <c r="E3081" s="3"/>
      <c r="F3081" s="3"/>
      <c r="G3081" s="3"/>
      <c r="H3081" s="3"/>
      <c r="I3081" s="3"/>
      <c r="J3081" s="3"/>
    </row>
    <row r="3082" spans="4:10" s="22" customFormat="1" x14ac:dyDescent="0.35">
      <c r="D3082" s="3" t="s">
        <v>276</v>
      </c>
      <c r="E3082" s="3"/>
      <c r="F3082" s="3"/>
      <c r="G3082" s="3"/>
      <c r="H3082" s="3"/>
      <c r="I3082" s="3"/>
      <c r="J3082" s="3"/>
    </row>
    <row r="3083" spans="4:10" s="22" customFormat="1" x14ac:dyDescent="0.35">
      <c r="D3083" s="3" t="s">
        <v>538</v>
      </c>
      <c r="E3083" s="3"/>
      <c r="F3083" s="3"/>
      <c r="G3083" s="3"/>
      <c r="H3083" s="3"/>
      <c r="I3083" s="3"/>
      <c r="J3083" s="3"/>
    </row>
    <row r="3084" spans="4:10" s="22" customFormat="1" x14ac:dyDescent="0.35">
      <c r="D3084" s="3" t="s">
        <v>276</v>
      </c>
      <c r="E3084" s="3"/>
      <c r="F3084" s="3"/>
      <c r="G3084" s="3"/>
      <c r="H3084" s="3"/>
      <c r="I3084" s="3"/>
      <c r="J3084" s="3"/>
    </row>
    <row r="3085" spans="4:10" s="22" customFormat="1" x14ac:dyDescent="0.35">
      <c r="D3085" s="3" t="s">
        <v>539</v>
      </c>
      <c r="E3085" s="3"/>
      <c r="F3085" s="3"/>
      <c r="G3085" s="3"/>
      <c r="H3085" s="3"/>
      <c r="I3085" s="3"/>
      <c r="J3085" s="3"/>
    </row>
    <row r="3086" spans="4:10" s="22" customFormat="1" x14ac:dyDescent="0.35">
      <c r="D3086" s="3"/>
      <c r="E3086" s="3"/>
      <c r="F3086" s="3"/>
      <c r="G3086" s="3"/>
      <c r="H3086" s="3"/>
      <c r="I3086" s="3"/>
      <c r="J3086" s="3"/>
    </row>
    <row r="3087" spans="4:10" s="22" customFormat="1" x14ac:dyDescent="0.35">
      <c r="D3087" s="3" t="s">
        <v>540</v>
      </c>
      <c r="E3087" s="3"/>
      <c r="F3087" s="3"/>
      <c r="G3087" s="3"/>
      <c r="H3087" s="3"/>
      <c r="I3087" s="3"/>
      <c r="J3087" s="3"/>
    </row>
    <row r="3088" spans="4:10" s="22" customFormat="1" x14ac:dyDescent="0.35">
      <c r="D3088" s="3"/>
      <c r="E3088" s="3"/>
      <c r="F3088" s="3"/>
      <c r="G3088" s="3"/>
      <c r="H3088" s="3"/>
      <c r="I3088" s="3"/>
      <c r="J3088" s="3"/>
    </row>
    <row r="3089" spans="4:10" s="22" customFormat="1" x14ac:dyDescent="0.35">
      <c r="D3089" s="3" t="s">
        <v>541</v>
      </c>
      <c r="E3089" s="3"/>
      <c r="F3089" s="3"/>
      <c r="G3089" s="3"/>
      <c r="H3089" s="3"/>
      <c r="I3089" s="3"/>
      <c r="J3089" s="3"/>
    </row>
    <row r="3090" spans="4:10" s="22" customFormat="1" x14ac:dyDescent="0.35">
      <c r="D3090" s="82"/>
      <c r="E3090" s="3"/>
      <c r="F3090" s="3"/>
      <c r="G3090" s="3"/>
      <c r="H3090" s="3"/>
      <c r="I3090" s="3"/>
      <c r="J3090" s="3"/>
    </row>
    <row r="3091" spans="4:10" s="22" customFormat="1" x14ac:dyDescent="0.35">
      <c r="D3091" s="82" t="s">
        <v>542</v>
      </c>
      <c r="E3091" s="3"/>
      <c r="F3091" s="3"/>
      <c r="G3091" s="3"/>
      <c r="H3091" s="3"/>
      <c r="I3091" s="3"/>
      <c r="J3091" s="3"/>
    </row>
    <row r="3092" spans="4:10" s="22" customFormat="1" x14ac:dyDescent="0.35">
      <c r="D3092" s="82" t="s">
        <v>543</v>
      </c>
      <c r="E3092" s="3"/>
      <c r="F3092" s="3"/>
      <c r="G3092" s="3"/>
      <c r="H3092" s="3"/>
      <c r="I3092" s="3"/>
      <c r="J3092" s="3"/>
    </row>
    <row r="3093" spans="4:10" s="22" customFormat="1" x14ac:dyDescent="0.35">
      <c r="D3093" s="82" t="s">
        <v>544</v>
      </c>
      <c r="E3093" s="3"/>
      <c r="F3093" s="3"/>
      <c r="G3093" s="3"/>
      <c r="H3093" s="3"/>
      <c r="I3093" s="3"/>
      <c r="J3093" s="3"/>
    </row>
    <row r="3094" spans="4:10" s="22" customFormat="1" x14ac:dyDescent="0.35">
      <c r="D3094" s="82" t="s">
        <v>545</v>
      </c>
      <c r="E3094" s="3"/>
      <c r="F3094" s="3"/>
      <c r="G3094" s="3"/>
      <c r="H3094" s="3"/>
      <c r="I3094" s="3"/>
      <c r="J3094" s="3"/>
    </row>
    <row r="3095" spans="4:10" s="22" customFormat="1" x14ac:dyDescent="0.35">
      <c r="D3095" s="3"/>
      <c r="E3095" s="3"/>
      <c r="F3095" s="3"/>
      <c r="G3095" s="3"/>
      <c r="H3095" s="3"/>
      <c r="I3095" s="3"/>
      <c r="J3095" s="3"/>
    </row>
    <row r="3096" spans="4:10" s="22" customFormat="1" x14ac:dyDescent="0.35">
      <c r="D3096" s="3" t="s">
        <v>628</v>
      </c>
      <c r="E3096" s="3"/>
      <c r="F3096" s="3"/>
      <c r="G3096" s="3"/>
      <c r="H3096" s="3"/>
      <c r="I3096" s="3"/>
      <c r="J3096" s="3"/>
    </row>
    <row r="3097" spans="4:10" s="22" customFormat="1" x14ac:dyDescent="0.35">
      <c r="D3097" s="3"/>
      <c r="E3097" s="3"/>
      <c r="F3097" s="3"/>
      <c r="G3097" s="3"/>
      <c r="H3097" s="3"/>
      <c r="I3097" s="3"/>
      <c r="J3097" s="3"/>
    </row>
    <row r="3098" spans="4:10" s="22" customFormat="1" x14ac:dyDescent="0.35">
      <c r="D3098" s="3"/>
      <c r="E3098" s="3"/>
      <c r="F3098" s="3"/>
      <c r="G3098" s="3"/>
      <c r="H3098" s="3"/>
      <c r="I3098" s="3"/>
      <c r="J3098" s="3"/>
    </row>
    <row r="3099" spans="4:10" s="22" customFormat="1" x14ac:dyDescent="0.35">
      <c r="D3099" s="3"/>
      <c r="E3099" s="3"/>
      <c r="F3099" s="3"/>
      <c r="G3099" s="3"/>
      <c r="H3099" s="3"/>
      <c r="I3099" s="3"/>
      <c r="J3099" s="3"/>
    </row>
    <row r="3100" spans="4:10" s="22" customFormat="1" x14ac:dyDescent="0.35">
      <c r="D3100" s="3"/>
      <c r="E3100" s="3"/>
      <c r="F3100" s="3"/>
      <c r="G3100" s="3"/>
      <c r="H3100" s="3"/>
      <c r="I3100" s="3"/>
      <c r="J3100" s="3"/>
    </row>
    <row r="3101" spans="4:10" s="22" customFormat="1" x14ac:dyDescent="0.35">
      <c r="D3101" s="3"/>
      <c r="E3101" s="3"/>
      <c r="F3101" s="3"/>
      <c r="G3101" s="3"/>
      <c r="H3101" s="3"/>
      <c r="I3101" s="3"/>
      <c r="J3101" s="3"/>
    </row>
    <row r="3102" spans="4:10" s="22" customFormat="1" x14ac:dyDescent="0.35">
      <c r="D3102" s="3"/>
      <c r="E3102" s="3"/>
      <c r="F3102" s="3"/>
      <c r="G3102" s="3"/>
      <c r="H3102" s="3"/>
      <c r="I3102" s="3"/>
      <c r="J3102" s="3"/>
    </row>
    <row r="3103" spans="4:10" s="22" customFormat="1" x14ac:dyDescent="0.35">
      <c r="D3103" s="3"/>
      <c r="E3103" s="3"/>
      <c r="F3103" s="3"/>
      <c r="G3103" s="3"/>
      <c r="H3103" s="3"/>
      <c r="I3103" s="3"/>
      <c r="J3103" s="3"/>
    </row>
    <row r="3104" spans="4:10" s="22" customFormat="1" x14ac:dyDescent="0.35">
      <c r="D3104" s="3"/>
      <c r="E3104" s="3"/>
      <c r="F3104" s="3"/>
      <c r="G3104" s="3"/>
      <c r="H3104" s="3"/>
      <c r="I3104" s="3"/>
      <c r="J3104" s="3"/>
    </row>
    <row r="3105" spans="4:10" s="22" customFormat="1" x14ac:dyDescent="0.35">
      <c r="D3105" s="3"/>
      <c r="E3105" s="3"/>
      <c r="F3105" s="3"/>
      <c r="G3105" s="3"/>
      <c r="H3105" s="3"/>
      <c r="I3105" s="3"/>
      <c r="J3105" s="3"/>
    </row>
    <row r="3106" spans="4:10" s="22" customFormat="1" x14ac:dyDescent="0.35">
      <c r="D3106" s="3"/>
      <c r="E3106" s="3"/>
      <c r="F3106" s="3"/>
      <c r="G3106" s="3"/>
      <c r="H3106" s="3"/>
      <c r="I3106" s="3"/>
      <c r="J3106" s="3"/>
    </row>
    <row r="3107" spans="4:10" s="22" customFormat="1" x14ac:dyDescent="0.35">
      <c r="D3107" s="3"/>
      <c r="E3107" s="3"/>
      <c r="F3107" s="3"/>
      <c r="G3107" s="3"/>
      <c r="H3107" s="3"/>
      <c r="I3107" s="3"/>
      <c r="J3107" s="3"/>
    </row>
    <row r="3108" spans="4:10" s="22" customFormat="1" x14ac:dyDescent="0.35">
      <c r="D3108" s="3"/>
      <c r="E3108" s="3"/>
      <c r="F3108" s="3"/>
      <c r="G3108" s="3"/>
      <c r="H3108" s="3"/>
      <c r="I3108" s="3"/>
      <c r="J3108" s="3"/>
    </row>
    <row r="3109" spans="4:10" s="22" customFormat="1" x14ac:dyDescent="0.35">
      <c r="D3109" s="3"/>
      <c r="E3109" s="3"/>
      <c r="F3109" s="3"/>
      <c r="G3109" s="3"/>
      <c r="H3109" s="3"/>
      <c r="I3109" s="3"/>
      <c r="J3109" s="3"/>
    </row>
    <row r="3110" spans="4:10" s="22" customFormat="1" x14ac:dyDescent="0.35">
      <c r="D3110" s="3"/>
      <c r="E3110" s="3"/>
      <c r="F3110" s="3"/>
      <c r="G3110" s="3"/>
      <c r="H3110" s="3"/>
      <c r="I3110" s="3"/>
      <c r="J3110" s="3"/>
    </row>
    <row r="3111" spans="4:10" s="22" customFormat="1" x14ac:dyDescent="0.35">
      <c r="D3111" s="3"/>
      <c r="E3111" s="3"/>
      <c r="F3111" s="3"/>
      <c r="G3111" s="3"/>
      <c r="H3111" s="3"/>
      <c r="I3111" s="3"/>
      <c r="J3111" s="3"/>
    </row>
    <row r="3112" spans="4:10" s="22" customFormat="1" x14ac:dyDescent="0.35">
      <c r="D3112" s="3"/>
      <c r="E3112" s="3"/>
      <c r="F3112" s="3"/>
      <c r="G3112" s="3"/>
      <c r="H3112" s="3"/>
      <c r="I3112" s="3"/>
      <c r="J3112" s="3"/>
    </row>
    <row r="3113" spans="4:10" s="22" customFormat="1" x14ac:dyDescent="0.35">
      <c r="D3113" s="3"/>
      <c r="E3113" s="3"/>
      <c r="F3113" s="3"/>
      <c r="G3113" s="3"/>
      <c r="H3113" s="3"/>
      <c r="I3113" s="3"/>
      <c r="J3113" s="3"/>
    </row>
    <row r="3114" spans="4:10" s="22" customFormat="1" x14ac:dyDescent="0.35">
      <c r="D3114" s="3"/>
      <c r="E3114" s="3"/>
      <c r="F3114" s="3"/>
      <c r="G3114" s="3"/>
      <c r="H3114" s="3"/>
      <c r="I3114" s="3"/>
      <c r="J3114" s="3"/>
    </row>
    <row r="3115" spans="4:10" s="22" customFormat="1" x14ac:dyDescent="0.35">
      <c r="D3115" s="3"/>
      <c r="E3115" s="3"/>
      <c r="F3115" s="3"/>
      <c r="G3115" s="3"/>
      <c r="H3115" s="3"/>
      <c r="I3115" s="3"/>
      <c r="J3115" s="3"/>
    </row>
    <row r="3116" spans="4:10" s="22" customFormat="1" x14ac:dyDescent="0.35">
      <c r="D3116" s="3"/>
      <c r="E3116" s="3"/>
      <c r="F3116" s="3"/>
      <c r="G3116" s="3"/>
      <c r="H3116" s="3"/>
      <c r="I3116" s="3"/>
      <c r="J3116" s="3"/>
    </row>
    <row r="3117" spans="4:10" s="22" customFormat="1" x14ac:dyDescent="0.35">
      <c r="D3117" s="3"/>
      <c r="E3117" s="3"/>
      <c r="F3117" s="3"/>
      <c r="G3117" s="3"/>
      <c r="H3117" s="3"/>
      <c r="I3117" s="3"/>
      <c r="J3117" s="3"/>
    </row>
    <row r="3118" spans="4:10" s="22" customFormat="1" x14ac:dyDescent="0.35">
      <c r="D3118" s="3"/>
      <c r="E3118" s="3"/>
      <c r="F3118" s="3"/>
      <c r="G3118" s="3"/>
      <c r="H3118" s="3"/>
      <c r="I3118" s="3"/>
      <c r="J3118" s="3"/>
    </row>
    <row r="3119" spans="4:10" s="22" customFormat="1" x14ac:dyDescent="0.35">
      <c r="D3119" s="3"/>
      <c r="E3119" s="3"/>
      <c r="F3119" s="3"/>
      <c r="G3119" s="3"/>
      <c r="H3119" s="3"/>
      <c r="I3119" s="3"/>
      <c r="J3119" s="3"/>
    </row>
    <row r="3120" spans="4:10" s="22" customFormat="1" x14ac:dyDescent="0.35">
      <c r="D3120" s="3"/>
      <c r="E3120" s="3"/>
      <c r="F3120" s="3"/>
      <c r="G3120" s="3"/>
      <c r="H3120" s="3"/>
      <c r="I3120" s="3"/>
      <c r="J3120" s="3"/>
    </row>
    <row r="3121" spans="4:10" s="22" customFormat="1" x14ac:dyDescent="0.35">
      <c r="D3121" s="3"/>
      <c r="E3121" s="3"/>
      <c r="F3121" s="3"/>
      <c r="G3121" s="3"/>
      <c r="H3121" s="3"/>
      <c r="I3121" s="3"/>
      <c r="J3121" s="3"/>
    </row>
    <row r="3122" spans="4:10" s="22" customFormat="1" x14ac:dyDescent="0.35">
      <c r="D3122" s="3"/>
      <c r="E3122" s="3"/>
      <c r="F3122" s="3"/>
      <c r="G3122" s="3"/>
      <c r="H3122" s="3"/>
      <c r="I3122" s="3"/>
      <c r="J3122" s="3"/>
    </row>
    <row r="3123" spans="4:10" s="22" customFormat="1" x14ac:dyDescent="0.35">
      <c r="D3123" s="3"/>
      <c r="E3123" s="3"/>
      <c r="F3123" s="3"/>
      <c r="G3123" s="3"/>
      <c r="H3123" s="3"/>
      <c r="I3123" s="3"/>
      <c r="J3123" s="3"/>
    </row>
    <row r="3124" spans="4:10" s="22" customFormat="1" x14ac:dyDescent="0.35">
      <c r="D3124" s="3"/>
      <c r="E3124" s="3"/>
      <c r="F3124" s="3"/>
      <c r="G3124" s="3"/>
      <c r="H3124" s="3"/>
      <c r="I3124" s="3"/>
      <c r="J3124" s="3"/>
    </row>
    <row r="3125" spans="4:10" s="22" customFormat="1" x14ac:dyDescent="0.35">
      <c r="D3125" s="3"/>
      <c r="E3125" s="3"/>
      <c r="F3125" s="3"/>
      <c r="G3125" s="3"/>
      <c r="H3125" s="3"/>
      <c r="I3125" s="3"/>
      <c r="J3125" s="3"/>
    </row>
    <row r="3126" spans="4:10" s="22" customFormat="1" x14ac:dyDescent="0.35">
      <c r="D3126" s="3"/>
      <c r="E3126" s="3"/>
      <c r="F3126" s="3"/>
      <c r="G3126" s="3"/>
      <c r="H3126" s="3"/>
      <c r="I3126" s="3"/>
      <c r="J3126" s="3"/>
    </row>
    <row r="3127" spans="4:10" s="22" customFormat="1" x14ac:dyDescent="0.35">
      <c r="D3127" s="3"/>
      <c r="E3127" s="3"/>
      <c r="F3127" s="3"/>
      <c r="G3127" s="3"/>
      <c r="H3127" s="3"/>
      <c r="I3127" s="3"/>
      <c r="J3127" s="3"/>
    </row>
    <row r="3128" spans="4:10" s="22" customFormat="1" x14ac:dyDescent="0.35">
      <c r="D3128" s="3"/>
      <c r="E3128" s="3"/>
      <c r="F3128" s="3"/>
      <c r="G3128" s="3"/>
      <c r="H3128" s="3"/>
      <c r="I3128" s="3"/>
      <c r="J3128" s="3"/>
    </row>
    <row r="3129" spans="4:10" s="22" customFormat="1" x14ac:dyDescent="0.35">
      <c r="D3129" s="3"/>
      <c r="E3129" s="3"/>
      <c r="F3129" s="3"/>
      <c r="G3129" s="3"/>
      <c r="H3129" s="3"/>
      <c r="I3129" s="3"/>
      <c r="J3129" s="3"/>
    </row>
    <row r="3130" spans="4:10" s="22" customFormat="1" x14ac:dyDescent="0.35">
      <c r="D3130" s="3"/>
      <c r="E3130" s="3"/>
      <c r="F3130" s="3"/>
      <c r="G3130" s="3"/>
      <c r="H3130" s="3"/>
      <c r="I3130" s="3"/>
      <c r="J3130" s="3"/>
    </row>
    <row r="3131" spans="4:10" s="22" customFormat="1" x14ac:dyDescent="0.35">
      <c r="D3131" s="3"/>
      <c r="E3131" s="3"/>
      <c r="F3131" s="3"/>
      <c r="G3131" s="3"/>
      <c r="H3131" s="3"/>
      <c r="I3131" s="3"/>
      <c r="J3131" s="3"/>
    </row>
    <row r="3132" spans="4:10" s="22" customFormat="1" x14ac:dyDescent="0.35">
      <c r="D3132" s="3"/>
      <c r="E3132" s="3"/>
      <c r="F3132" s="3"/>
      <c r="G3132" s="3"/>
      <c r="H3132" s="3"/>
      <c r="I3132" s="3"/>
      <c r="J3132" s="3"/>
    </row>
    <row r="3133" spans="4:10" s="22" customFormat="1" x14ac:dyDescent="0.35">
      <c r="D3133" s="3"/>
      <c r="E3133" s="3"/>
      <c r="F3133" s="3"/>
      <c r="G3133" s="3"/>
      <c r="H3133" s="3"/>
      <c r="I3133" s="3"/>
      <c r="J3133" s="3"/>
    </row>
    <row r="3134" spans="4:10" s="22" customFormat="1" x14ac:dyDescent="0.35">
      <c r="D3134" s="3"/>
      <c r="E3134" s="3"/>
      <c r="F3134" s="3"/>
      <c r="G3134" s="3"/>
      <c r="H3134" s="3"/>
      <c r="I3134" s="3"/>
      <c r="J3134" s="3"/>
    </row>
    <row r="3135" spans="4:10" s="22" customFormat="1" x14ac:dyDescent="0.35">
      <c r="D3135" s="3"/>
      <c r="E3135" s="3"/>
      <c r="F3135" s="3"/>
      <c r="G3135" s="3"/>
      <c r="H3135" s="3"/>
      <c r="I3135" s="3"/>
      <c r="J3135" s="3"/>
    </row>
    <row r="3136" spans="4:10" s="22" customFormat="1" x14ac:dyDescent="0.35">
      <c r="D3136" s="3"/>
      <c r="E3136" s="3"/>
      <c r="F3136" s="3"/>
      <c r="G3136" s="3"/>
      <c r="H3136" s="3"/>
      <c r="I3136" s="3"/>
      <c r="J3136" s="3"/>
    </row>
    <row r="3137" spans="4:10" s="22" customFormat="1" x14ac:dyDescent="0.35">
      <c r="D3137" s="3"/>
      <c r="E3137" s="3"/>
      <c r="F3137" s="3"/>
      <c r="G3137" s="3"/>
      <c r="H3137" s="3"/>
      <c r="I3137" s="3"/>
      <c r="J3137" s="3"/>
    </row>
    <row r="3138" spans="4:10" s="22" customFormat="1" x14ac:dyDescent="0.35">
      <c r="D3138" s="3"/>
      <c r="E3138" s="3"/>
      <c r="F3138" s="3"/>
      <c r="G3138" s="3"/>
      <c r="H3138" s="3"/>
      <c r="I3138" s="3"/>
      <c r="J3138" s="3"/>
    </row>
    <row r="3139" spans="4:10" s="22" customFormat="1" x14ac:dyDescent="0.35">
      <c r="D3139" s="3"/>
      <c r="E3139" s="3"/>
      <c r="F3139" s="3"/>
      <c r="G3139" s="3"/>
      <c r="H3139" s="3"/>
      <c r="I3139" s="3"/>
      <c r="J3139" s="3"/>
    </row>
    <row r="3140" spans="4:10" s="22" customFormat="1" x14ac:dyDescent="0.35">
      <c r="D3140" s="3"/>
      <c r="E3140" s="3"/>
      <c r="F3140" s="3"/>
      <c r="G3140" s="3"/>
      <c r="H3140" s="3"/>
      <c r="I3140" s="3"/>
      <c r="J3140" s="3"/>
    </row>
    <row r="3141" spans="4:10" s="22" customFormat="1" x14ac:dyDescent="0.35">
      <c r="D3141" s="3"/>
      <c r="E3141" s="3"/>
      <c r="F3141" s="3"/>
      <c r="G3141" s="3"/>
      <c r="H3141" s="3"/>
      <c r="I3141" s="3"/>
      <c r="J3141" s="3"/>
    </row>
    <row r="3142" spans="4:10" s="22" customFormat="1" x14ac:dyDescent="0.35">
      <c r="D3142" s="3"/>
      <c r="E3142" s="3"/>
      <c r="F3142" s="3"/>
      <c r="G3142" s="3"/>
      <c r="H3142" s="3"/>
      <c r="I3142" s="3"/>
      <c r="J3142" s="3"/>
    </row>
    <row r="3143" spans="4:10" s="22" customFormat="1" x14ac:dyDescent="0.35">
      <c r="D3143" s="3"/>
      <c r="E3143" s="3"/>
      <c r="F3143" s="3"/>
      <c r="G3143" s="3"/>
      <c r="H3143" s="3"/>
      <c r="I3143" s="3"/>
      <c r="J3143" s="3"/>
    </row>
    <row r="3144" spans="4:10" s="22" customFormat="1" x14ac:dyDescent="0.35">
      <c r="D3144" s="3"/>
      <c r="E3144" s="3"/>
      <c r="F3144" s="3"/>
      <c r="G3144" s="3"/>
      <c r="H3144" s="3"/>
      <c r="I3144" s="3"/>
      <c r="J3144" s="3"/>
    </row>
    <row r="3145" spans="4:10" s="22" customFormat="1" x14ac:dyDescent="0.35">
      <c r="D3145" s="3"/>
      <c r="E3145" s="3"/>
      <c r="F3145" s="3"/>
      <c r="G3145" s="3"/>
      <c r="H3145" s="3"/>
      <c r="I3145" s="3"/>
      <c r="J3145" s="3"/>
    </row>
    <row r="3146" spans="4:10" s="22" customFormat="1" x14ac:dyDescent="0.35">
      <c r="D3146" s="3"/>
      <c r="E3146" s="3"/>
      <c r="F3146" s="3"/>
      <c r="G3146" s="3"/>
      <c r="H3146" s="3"/>
      <c r="I3146" s="3"/>
      <c r="J3146" s="3"/>
    </row>
    <row r="3147" spans="4:10" s="22" customFormat="1" x14ac:dyDescent="0.35">
      <c r="D3147" s="3"/>
      <c r="E3147" s="3"/>
      <c r="F3147" s="3"/>
      <c r="G3147" s="3"/>
      <c r="H3147" s="3"/>
      <c r="I3147" s="3"/>
      <c r="J3147" s="3"/>
    </row>
    <row r="3148" spans="4:10" s="22" customFormat="1" x14ac:dyDescent="0.35">
      <c r="D3148" s="3"/>
      <c r="E3148" s="3"/>
      <c r="F3148" s="3"/>
      <c r="G3148" s="3"/>
      <c r="H3148" s="3"/>
      <c r="I3148" s="3"/>
      <c r="J3148" s="3"/>
    </row>
    <row r="3149" spans="4:10" s="22" customFormat="1" x14ac:dyDescent="0.35">
      <c r="D3149" s="3"/>
      <c r="E3149" s="3"/>
      <c r="F3149" s="3"/>
      <c r="G3149" s="3"/>
      <c r="H3149" s="3"/>
      <c r="I3149" s="3"/>
      <c r="J3149" s="3"/>
    </row>
    <row r="3150" spans="4:10" s="22" customFormat="1" x14ac:dyDescent="0.35">
      <c r="D3150" s="3"/>
      <c r="E3150" s="3"/>
      <c r="F3150" s="3"/>
      <c r="G3150" s="3"/>
      <c r="H3150" s="3"/>
      <c r="I3150" s="3"/>
      <c r="J3150" s="3"/>
    </row>
    <row r="3151" spans="4:10" s="22" customFormat="1" x14ac:dyDescent="0.35">
      <c r="D3151" s="3"/>
      <c r="E3151" s="3"/>
      <c r="F3151" s="3"/>
      <c r="G3151" s="3"/>
      <c r="H3151" s="3"/>
      <c r="I3151" s="3"/>
      <c r="J3151" s="3"/>
    </row>
    <row r="3152" spans="4:10" s="22" customFormat="1" x14ac:dyDescent="0.35">
      <c r="D3152" s="3"/>
      <c r="E3152" s="3"/>
      <c r="F3152" s="3"/>
      <c r="G3152" s="3"/>
      <c r="H3152" s="3"/>
      <c r="I3152" s="3"/>
      <c r="J3152" s="3"/>
    </row>
    <row r="3153" spans="4:10" s="22" customFormat="1" x14ac:dyDescent="0.35">
      <c r="D3153" s="3"/>
      <c r="E3153" s="3"/>
      <c r="F3153" s="3"/>
      <c r="G3153" s="3"/>
      <c r="H3153" s="3"/>
      <c r="I3153" s="3"/>
      <c r="J3153" s="3"/>
    </row>
    <row r="3154" spans="4:10" s="22" customFormat="1" x14ac:dyDescent="0.35">
      <c r="D3154" s="3"/>
      <c r="E3154" s="3"/>
      <c r="F3154" s="3"/>
      <c r="G3154" s="3"/>
      <c r="H3154" s="3"/>
      <c r="I3154" s="3"/>
      <c r="J3154" s="3"/>
    </row>
    <row r="3155" spans="4:10" s="22" customFormat="1" x14ac:dyDescent="0.35">
      <c r="D3155" s="3"/>
      <c r="E3155" s="3"/>
      <c r="F3155" s="3"/>
      <c r="G3155" s="3"/>
      <c r="H3155" s="3"/>
      <c r="I3155" s="3"/>
      <c r="J3155" s="3"/>
    </row>
    <row r="3156" spans="4:10" s="22" customFormat="1" x14ac:dyDescent="0.35">
      <c r="D3156" s="3"/>
      <c r="E3156" s="3"/>
      <c r="F3156" s="3"/>
      <c r="G3156" s="3"/>
      <c r="H3156" s="3"/>
      <c r="I3156" s="3"/>
      <c r="J3156" s="3"/>
    </row>
    <row r="3157" spans="4:10" s="22" customFormat="1" x14ac:dyDescent="0.35">
      <c r="D3157" s="3"/>
      <c r="E3157" s="3"/>
      <c r="F3157" s="3"/>
      <c r="G3157" s="3"/>
      <c r="H3157" s="3"/>
      <c r="I3157" s="3"/>
      <c r="J3157" s="3"/>
    </row>
    <row r="3158" spans="4:10" s="22" customFormat="1" x14ac:dyDescent="0.35">
      <c r="D3158" s="3"/>
      <c r="E3158" s="3"/>
      <c r="F3158" s="3"/>
      <c r="G3158" s="3"/>
      <c r="H3158" s="3"/>
      <c r="I3158" s="3"/>
      <c r="J3158" s="3"/>
    </row>
    <row r="3159" spans="4:10" s="22" customFormat="1" x14ac:dyDescent="0.35">
      <c r="D3159" s="3"/>
      <c r="E3159" s="3"/>
      <c r="F3159" s="3"/>
      <c r="G3159" s="3"/>
      <c r="H3159" s="3"/>
      <c r="I3159" s="3"/>
      <c r="J3159" s="3"/>
    </row>
    <row r="3160" spans="4:10" s="22" customFormat="1" x14ac:dyDescent="0.35">
      <c r="D3160" s="3"/>
      <c r="E3160" s="3"/>
      <c r="F3160" s="3"/>
      <c r="G3160" s="3"/>
      <c r="H3160" s="3"/>
      <c r="I3160" s="3"/>
      <c r="J3160" s="3"/>
    </row>
    <row r="3161" spans="4:10" s="22" customFormat="1" x14ac:dyDescent="0.35">
      <c r="D3161" s="3"/>
      <c r="E3161" s="3"/>
      <c r="F3161" s="3"/>
      <c r="G3161" s="3"/>
      <c r="H3161" s="3"/>
      <c r="I3161" s="3"/>
      <c r="J3161" s="3"/>
    </row>
    <row r="3162" spans="4:10" s="22" customFormat="1" x14ac:dyDescent="0.35">
      <c r="D3162" s="3"/>
      <c r="E3162" s="3"/>
      <c r="F3162" s="3"/>
      <c r="G3162" s="3"/>
      <c r="H3162" s="3"/>
      <c r="I3162" s="3"/>
      <c r="J3162" s="3"/>
    </row>
    <row r="3163" spans="4:10" s="22" customFormat="1" x14ac:dyDescent="0.35">
      <c r="D3163" s="3"/>
      <c r="E3163" s="3"/>
      <c r="F3163" s="3"/>
      <c r="G3163" s="3"/>
      <c r="H3163" s="3"/>
      <c r="I3163" s="3"/>
      <c r="J3163" s="3"/>
    </row>
    <row r="3164" spans="4:10" s="22" customFormat="1" x14ac:dyDescent="0.35">
      <c r="D3164" s="3"/>
      <c r="E3164" s="3"/>
      <c r="F3164" s="3"/>
      <c r="G3164" s="3"/>
      <c r="H3164" s="3"/>
      <c r="I3164" s="3"/>
      <c r="J3164" s="3"/>
    </row>
    <row r="3165" spans="4:10" s="22" customFormat="1" x14ac:dyDescent="0.35">
      <c r="D3165" s="3"/>
      <c r="E3165" s="3"/>
      <c r="F3165" s="3"/>
      <c r="G3165" s="3"/>
      <c r="H3165" s="3"/>
      <c r="I3165" s="3"/>
      <c r="J3165" s="3"/>
    </row>
    <row r="3166" spans="4:10" s="22" customFormat="1" x14ac:dyDescent="0.35">
      <c r="D3166" s="3"/>
      <c r="E3166" s="3"/>
      <c r="F3166" s="3"/>
      <c r="G3166" s="3"/>
      <c r="H3166" s="3"/>
      <c r="I3166" s="3"/>
      <c r="J3166" s="3"/>
    </row>
    <row r="3167" spans="4:10" s="22" customFormat="1" x14ac:dyDescent="0.35">
      <c r="D3167" s="3"/>
      <c r="E3167" s="3"/>
      <c r="F3167" s="3"/>
      <c r="G3167" s="3"/>
      <c r="H3167" s="3"/>
      <c r="I3167" s="3"/>
      <c r="J3167" s="3"/>
    </row>
    <row r="3168" spans="4:10" s="22" customFormat="1" x14ac:dyDescent="0.35">
      <c r="D3168" s="3"/>
      <c r="E3168" s="3"/>
      <c r="F3168" s="3"/>
      <c r="G3168" s="3"/>
      <c r="H3168" s="3"/>
      <c r="I3168" s="3"/>
      <c r="J3168" s="3"/>
    </row>
    <row r="3169" spans="4:10" s="22" customFormat="1" x14ac:dyDescent="0.35">
      <c r="D3169" s="3"/>
      <c r="E3169" s="3"/>
      <c r="F3169" s="3"/>
      <c r="G3169" s="3"/>
      <c r="H3169" s="3"/>
      <c r="I3169" s="3"/>
      <c r="J3169" s="3"/>
    </row>
    <row r="3170" spans="4:10" s="22" customFormat="1" x14ac:dyDescent="0.35">
      <c r="D3170" s="3"/>
      <c r="E3170" s="3"/>
      <c r="F3170" s="3"/>
      <c r="G3170" s="3"/>
      <c r="H3170" s="3"/>
      <c r="I3170" s="3"/>
      <c r="J3170" s="3"/>
    </row>
    <row r="3171" spans="4:10" s="22" customFormat="1" x14ac:dyDescent="0.35">
      <c r="D3171" s="3"/>
      <c r="E3171" s="3"/>
      <c r="F3171" s="3"/>
      <c r="G3171" s="3"/>
      <c r="H3171" s="3"/>
      <c r="I3171" s="3"/>
      <c r="J3171" s="3"/>
    </row>
    <row r="3172" spans="4:10" s="22" customFormat="1" x14ac:dyDescent="0.35">
      <c r="D3172" s="3"/>
      <c r="E3172" s="3"/>
      <c r="F3172" s="3"/>
      <c r="G3172" s="3"/>
      <c r="H3172" s="3"/>
      <c r="I3172" s="3"/>
      <c r="J3172" s="3"/>
    </row>
    <row r="3173" spans="4:10" s="22" customFormat="1" x14ac:dyDescent="0.35">
      <c r="D3173" s="3"/>
      <c r="E3173" s="3"/>
      <c r="F3173" s="3"/>
      <c r="G3173" s="3"/>
      <c r="H3173" s="3"/>
      <c r="I3173" s="3"/>
      <c r="J3173" s="3"/>
    </row>
    <row r="3174" spans="4:10" s="22" customFormat="1" x14ac:dyDescent="0.35">
      <c r="D3174" s="3"/>
      <c r="E3174" s="3"/>
      <c r="F3174" s="3"/>
      <c r="G3174" s="3"/>
      <c r="H3174" s="3"/>
      <c r="I3174" s="3"/>
      <c r="J3174" s="3"/>
    </row>
    <row r="3175" spans="4:10" s="22" customFormat="1" x14ac:dyDescent="0.35">
      <c r="D3175" s="3"/>
      <c r="E3175" s="3"/>
      <c r="F3175" s="3"/>
      <c r="G3175" s="3"/>
      <c r="H3175" s="3"/>
      <c r="I3175" s="3"/>
      <c r="J3175" s="3"/>
    </row>
    <row r="3176" spans="4:10" s="22" customFormat="1" x14ac:dyDescent="0.35">
      <c r="D3176" s="3"/>
      <c r="E3176" s="3"/>
      <c r="F3176" s="3"/>
      <c r="G3176" s="3"/>
      <c r="H3176" s="3"/>
      <c r="I3176" s="3"/>
      <c r="J3176" s="3"/>
    </row>
    <row r="3177" spans="4:10" s="22" customFormat="1" x14ac:dyDescent="0.35">
      <c r="D3177" s="3"/>
      <c r="E3177" s="3"/>
      <c r="F3177" s="3"/>
      <c r="G3177" s="3"/>
      <c r="H3177" s="3"/>
      <c r="I3177" s="3"/>
      <c r="J3177" s="3"/>
    </row>
    <row r="3178" spans="4:10" s="22" customFormat="1" x14ac:dyDescent="0.35">
      <c r="D3178" s="3"/>
      <c r="E3178" s="3"/>
      <c r="F3178" s="3"/>
      <c r="G3178" s="3"/>
      <c r="H3178" s="3"/>
      <c r="I3178" s="3"/>
      <c r="J3178" s="3"/>
    </row>
    <row r="3179" spans="4:10" s="22" customFormat="1" x14ac:dyDescent="0.35">
      <c r="D3179" s="3"/>
      <c r="E3179" s="3"/>
      <c r="F3179" s="3"/>
      <c r="G3179" s="3"/>
      <c r="H3179" s="3"/>
      <c r="I3179" s="3"/>
      <c r="J3179" s="3"/>
    </row>
    <row r="3180" spans="4:10" s="22" customFormat="1" x14ac:dyDescent="0.35">
      <c r="D3180" s="3"/>
      <c r="E3180" s="3"/>
      <c r="F3180" s="3"/>
      <c r="G3180" s="3"/>
      <c r="H3180" s="3"/>
      <c r="I3180" s="3"/>
      <c r="J3180" s="3"/>
    </row>
    <row r="3181" spans="4:10" s="22" customFormat="1" x14ac:dyDescent="0.35">
      <c r="D3181" s="3"/>
      <c r="E3181" s="3"/>
      <c r="F3181" s="3"/>
      <c r="G3181" s="3"/>
      <c r="H3181" s="3"/>
      <c r="I3181" s="3"/>
      <c r="J3181" s="3"/>
    </row>
    <row r="3182" spans="4:10" s="22" customFormat="1" x14ac:dyDescent="0.35">
      <c r="D3182" s="3"/>
      <c r="E3182" s="3"/>
      <c r="F3182" s="3"/>
      <c r="G3182" s="3"/>
      <c r="H3182" s="3"/>
      <c r="I3182" s="3"/>
      <c r="J3182" s="3"/>
    </row>
    <row r="3183" spans="4:10" s="22" customFormat="1" x14ac:dyDescent="0.35">
      <c r="D3183" s="3"/>
      <c r="E3183" s="3"/>
      <c r="F3183" s="3"/>
      <c r="G3183" s="3"/>
      <c r="H3183" s="3"/>
      <c r="I3183" s="3"/>
      <c r="J3183" s="3"/>
    </row>
    <row r="3184" spans="4:10" s="22" customFormat="1" x14ac:dyDescent="0.35">
      <c r="D3184" s="3"/>
      <c r="E3184" s="3"/>
      <c r="F3184" s="3"/>
      <c r="G3184" s="3"/>
      <c r="H3184" s="3"/>
      <c r="I3184" s="3"/>
      <c r="J3184" s="3"/>
    </row>
    <row r="3185" spans="4:10" s="22" customFormat="1" x14ac:dyDescent="0.35">
      <c r="D3185" s="3"/>
      <c r="E3185" s="3"/>
      <c r="F3185" s="3"/>
      <c r="G3185" s="3"/>
      <c r="H3185" s="3"/>
      <c r="I3185" s="3"/>
      <c r="J3185" s="3"/>
    </row>
    <row r="3186" spans="4:10" s="22" customFormat="1" x14ac:dyDescent="0.35">
      <c r="D3186" s="3"/>
      <c r="E3186" s="3"/>
      <c r="F3186" s="3"/>
      <c r="G3186" s="3"/>
      <c r="H3186" s="3"/>
      <c r="I3186" s="3"/>
      <c r="J3186" s="3"/>
    </row>
    <row r="3187" spans="4:10" s="22" customFormat="1" x14ac:dyDescent="0.35">
      <c r="D3187" s="3"/>
      <c r="E3187" s="3"/>
      <c r="F3187" s="3"/>
      <c r="G3187" s="3"/>
      <c r="H3187" s="3"/>
      <c r="I3187" s="3"/>
      <c r="J3187" s="3"/>
    </row>
    <row r="3188" spans="4:10" s="22" customFormat="1" x14ac:dyDescent="0.35">
      <c r="D3188" s="3"/>
      <c r="E3188" s="3"/>
      <c r="F3188" s="3"/>
      <c r="G3188" s="3"/>
      <c r="H3188" s="3"/>
      <c r="I3188" s="3"/>
      <c r="J3188" s="3"/>
    </row>
    <row r="3189" spans="4:10" s="22" customFormat="1" x14ac:dyDescent="0.35">
      <c r="D3189" s="3"/>
      <c r="E3189" s="3"/>
      <c r="F3189" s="3"/>
      <c r="G3189" s="3"/>
      <c r="H3189" s="3"/>
      <c r="I3189" s="3"/>
      <c r="J3189" s="3"/>
    </row>
    <row r="3190" spans="4:10" s="22" customFormat="1" x14ac:dyDescent="0.35">
      <c r="D3190" s="3"/>
      <c r="E3190" s="3"/>
      <c r="F3190" s="3"/>
      <c r="G3190" s="3"/>
      <c r="H3190" s="3"/>
      <c r="I3190" s="3"/>
      <c r="J3190" s="3"/>
    </row>
    <row r="3191" spans="4:10" s="22" customFormat="1" x14ac:dyDescent="0.35">
      <c r="D3191" s="3"/>
      <c r="E3191" s="3"/>
      <c r="F3191" s="3"/>
      <c r="G3191" s="3"/>
      <c r="H3191" s="3"/>
      <c r="I3191" s="3"/>
      <c r="J3191" s="3"/>
    </row>
    <row r="3192" spans="4:10" s="22" customFormat="1" x14ac:dyDescent="0.35">
      <c r="D3192" s="3"/>
      <c r="E3192" s="3"/>
      <c r="F3192" s="3"/>
      <c r="G3192" s="3"/>
      <c r="H3192" s="3"/>
      <c r="I3192" s="3"/>
      <c r="J3192" s="3"/>
    </row>
    <row r="3193" spans="4:10" s="22" customFormat="1" x14ac:dyDescent="0.35">
      <c r="D3193" s="3"/>
      <c r="E3193" s="3"/>
      <c r="F3193" s="3"/>
      <c r="G3193" s="3"/>
      <c r="H3193" s="3"/>
      <c r="I3193" s="3"/>
      <c r="J3193" s="3"/>
    </row>
    <row r="3194" spans="4:10" s="22" customFormat="1" x14ac:dyDescent="0.35">
      <c r="D3194" s="3"/>
      <c r="E3194" s="3"/>
      <c r="F3194" s="3"/>
      <c r="G3194" s="3"/>
      <c r="H3194" s="3"/>
      <c r="I3194" s="3"/>
      <c r="J3194" s="3"/>
    </row>
    <row r="3195" spans="4:10" s="22" customFormat="1" x14ac:dyDescent="0.35">
      <c r="D3195" s="3"/>
      <c r="E3195" s="3"/>
      <c r="F3195" s="3"/>
      <c r="G3195" s="3"/>
      <c r="H3195" s="3"/>
      <c r="I3195" s="3"/>
      <c r="J3195" s="3"/>
    </row>
    <row r="3196" spans="4:10" s="22" customFormat="1" x14ac:dyDescent="0.35">
      <c r="D3196" s="3"/>
      <c r="E3196" s="3"/>
      <c r="F3196" s="3"/>
      <c r="G3196" s="3"/>
      <c r="H3196" s="3"/>
      <c r="I3196" s="3"/>
      <c r="J3196" s="3"/>
    </row>
    <row r="3197" spans="4:10" s="22" customFormat="1" x14ac:dyDescent="0.35">
      <c r="D3197" s="3"/>
      <c r="E3197" s="3"/>
      <c r="F3197" s="3"/>
      <c r="G3197" s="3"/>
      <c r="H3197" s="3"/>
      <c r="I3197" s="3"/>
      <c r="J3197" s="3"/>
    </row>
    <row r="3198" spans="4:10" s="22" customFormat="1" x14ac:dyDescent="0.35">
      <c r="D3198" s="3"/>
      <c r="E3198" s="3"/>
      <c r="F3198" s="3"/>
      <c r="G3198" s="3"/>
      <c r="H3198" s="3"/>
      <c r="I3198" s="3"/>
      <c r="J3198" s="3"/>
    </row>
    <row r="3199" spans="4:10" s="22" customFormat="1" x14ac:dyDescent="0.35">
      <c r="D3199" s="3"/>
      <c r="E3199" s="3"/>
      <c r="F3199" s="3"/>
      <c r="G3199" s="3"/>
      <c r="H3199" s="3"/>
      <c r="I3199" s="3"/>
      <c r="J3199" s="3"/>
    </row>
    <row r="3200" spans="4:10" s="22" customFormat="1" x14ac:dyDescent="0.35">
      <c r="D3200" s="3"/>
      <c r="E3200" s="3"/>
      <c r="F3200" s="3"/>
      <c r="G3200" s="3"/>
      <c r="H3200" s="3"/>
      <c r="I3200" s="3"/>
      <c r="J3200" s="3"/>
    </row>
    <row r="3201" spans="4:10" s="22" customFormat="1" x14ac:dyDescent="0.35">
      <c r="D3201" s="3"/>
      <c r="E3201" s="3"/>
      <c r="F3201" s="3"/>
      <c r="G3201" s="3"/>
      <c r="H3201" s="3"/>
      <c r="I3201" s="3"/>
      <c r="J3201" s="3"/>
    </row>
    <row r="3202" spans="4:10" s="22" customFormat="1" x14ac:dyDescent="0.35">
      <c r="D3202" s="3"/>
      <c r="E3202" s="3"/>
      <c r="F3202" s="3"/>
      <c r="G3202" s="3"/>
      <c r="H3202" s="3"/>
      <c r="I3202" s="3"/>
      <c r="J3202" s="3"/>
    </row>
    <row r="3203" spans="4:10" s="22" customFormat="1" x14ac:dyDescent="0.35">
      <c r="D3203" s="3"/>
      <c r="E3203" s="3"/>
      <c r="F3203" s="3"/>
      <c r="G3203" s="3"/>
      <c r="H3203" s="3"/>
      <c r="I3203" s="3"/>
      <c r="J3203" s="3"/>
    </row>
    <row r="3204" spans="4:10" s="22" customFormat="1" x14ac:dyDescent="0.35">
      <c r="D3204" s="3"/>
      <c r="E3204" s="3"/>
      <c r="F3204" s="3"/>
      <c r="G3204" s="3"/>
      <c r="H3204" s="3"/>
      <c r="I3204" s="3"/>
      <c r="J3204" s="3"/>
    </row>
    <row r="3205" spans="4:10" s="22" customFormat="1" x14ac:dyDescent="0.35">
      <c r="D3205" s="3"/>
      <c r="E3205" s="3"/>
      <c r="F3205" s="3"/>
      <c r="G3205" s="3"/>
      <c r="H3205" s="3"/>
      <c r="I3205" s="3"/>
      <c r="J3205" s="3"/>
    </row>
    <row r="3206" spans="4:10" s="22" customFormat="1" x14ac:dyDescent="0.35">
      <c r="D3206" s="3"/>
      <c r="E3206" s="3"/>
      <c r="F3206" s="3"/>
      <c r="G3206" s="3"/>
      <c r="H3206" s="3"/>
      <c r="I3206" s="3"/>
      <c r="J3206" s="3"/>
    </row>
    <row r="3207" spans="4:10" s="22" customFormat="1" x14ac:dyDescent="0.35">
      <c r="D3207" s="3"/>
      <c r="E3207" s="3"/>
      <c r="F3207" s="3"/>
      <c r="G3207" s="3"/>
      <c r="H3207" s="3"/>
      <c r="I3207" s="3"/>
      <c r="J3207" s="3"/>
    </row>
    <row r="3208" spans="4:10" s="22" customFormat="1" x14ac:dyDescent="0.35">
      <c r="D3208" s="3"/>
      <c r="E3208" s="3"/>
      <c r="F3208" s="3"/>
      <c r="G3208" s="3"/>
      <c r="H3208" s="3"/>
      <c r="I3208" s="3"/>
      <c r="J3208" s="3"/>
    </row>
    <row r="3209" spans="4:10" s="22" customFormat="1" x14ac:dyDescent="0.35">
      <c r="D3209" s="3"/>
      <c r="E3209" s="3"/>
      <c r="F3209" s="3"/>
      <c r="G3209" s="3"/>
      <c r="H3209" s="3"/>
      <c r="I3209" s="3"/>
      <c r="J3209" s="3"/>
    </row>
    <row r="3210" spans="4:10" s="22" customFormat="1" x14ac:dyDescent="0.35">
      <c r="D3210" s="3"/>
      <c r="E3210" s="3"/>
      <c r="F3210" s="3"/>
      <c r="G3210" s="3"/>
      <c r="H3210" s="3"/>
      <c r="I3210" s="3"/>
      <c r="J3210" s="3"/>
    </row>
    <row r="3211" spans="4:10" s="22" customFormat="1" x14ac:dyDescent="0.35">
      <c r="D3211" s="3"/>
      <c r="E3211" s="3"/>
      <c r="F3211" s="3"/>
      <c r="G3211" s="3"/>
      <c r="H3211" s="3"/>
      <c r="I3211" s="3"/>
      <c r="J3211" s="3"/>
    </row>
    <row r="3212" spans="4:10" s="22" customFormat="1" x14ac:dyDescent="0.35">
      <c r="D3212" s="3"/>
      <c r="E3212" s="3"/>
      <c r="F3212" s="3"/>
      <c r="G3212" s="3"/>
      <c r="H3212" s="3"/>
      <c r="I3212" s="3"/>
      <c r="J3212" s="3"/>
    </row>
    <row r="3213" spans="4:10" s="22" customFormat="1" x14ac:dyDescent="0.35">
      <c r="D3213" s="3"/>
      <c r="E3213" s="3"/>
      <c r="F3213" s="3"/>
      <c r="G3213" s="3"/>
      <c r="H3213" s="3"/>
      <c r="I3213" s="3"/>
      <c r="J3213" s="3"/>
    </row>
    <row r="3214" spans="4:10" s="22" customFormat="1" x14ac:dyDescent="0.35">
      <c r="D3214" s="3"/>
      <c r="E3214" s="3"/>
      <c r="F3214" s="3"/>
      <c r="G3214" s="3"/>
      <c r="H3214" s="3"/>
      <c r="I3214" s="3"/>
      <c r="J3214" s="3"/>
    </row>
    <row r="3215" spans="4:10" s="22" customFormat="1" x14ac:dyDescent="0.35">
      <c r="D3215" s="3"/>
      <c r="E3215" s="3"/>
      <c r="F3215" s="3"/>
      <c r="G3215" s="3"/>
      <c r="H3215" s="3"/>
      <c r="I3215" s="3"/>
      <c r="J3215" s="3"/>
    </row>
    <row r="3216" spans="4:10" s="22" customFormat="1" x14ac:dyDescent="0.35">
      <c r="D3216" s="3"/>
      <c r="E3216" s="3"/>
      <c r="F3216" s="3"/>
      <c r="G3216" s="3"/>
      <c r="H3216" s="3"/>
      <c r="I3216" s="3"/>
      <c r="J3216" s="3"/>
    </row>
    <row r="3217" spans="4:10" s="22" customFormat="1" x14ac:dyDescent="0.35">
      <c r="D3217" s="3"/>
      <c r="E3217" s="3"/>
      <c r="F3217" s="3"/>
      <c r="G3217" s="3"/>
      <c r="H3217" s="3"/>
      <c r="I3217" s="3"/>
      <c r="J3217" s="3"/>
    </row>
    <row r="3218" spans="4:10" s="22" customFormat="1" x14ac:dyDescent="0.35">
      <c r="D3218" s="3"/>
      <c r="E3218" s="3"/>
      <c r="F3218" s="3"/>
      <c r="G3218" s="3"/>
      <c r="H3218" s="3"/>
      <c r="I3218" s="3"/>
      <c r="J3218" s="3"/>
    </row>
    <row r="3219" spans="4:10" s="22" customFormat="1" x14ac:dyDescent="0.35">
      <c r="D3219" s="3"/>
      <c r="E3219" s="3"/>
      <c r="F3219" s="3"/>
      <c r="G3219" s="3"/>
      <c r="H3219" s="3"/>
      <c r="I3219" s="3"/>
      <c r="J3219" s="3"/>
    </row>
    <row r="3220" spans="4:10" s="22" customFormat="1" x14ac:dyDescent="0.35">
      <c r="D3220" s="3"/>
      <c r="E3220" s="3"/>
      <c r="F3220" s="3"/>
      <c r="G3220" s="3"/>
      <c r="H3220" s="3"/>
      <c r="I3220" s="3"/>
      <c r="J3220" s="3"/>
    </row>
    <row r="3221" spans="4:10" s="22" customFormat="1" x14ac:dyDescent="0.35">
      <c r="D3221" s="3"/>
      <c r="E3221" s="3"/>
      <c r="F3221" s="3"/>
      <c r="G3221" s="3"/>
      <c r="H3221" s="3"/>
      <c r="I3221" s="3"/>
      <c r="J3221" s="3"/>
    </row>
    <row r="3222" spans="4:10" s="22" customFormat="1" x14ac:dyDescent="0.35">
      <c r="D3222" s="3"/>
      <c r="E3222" s="3"/>
      <c r="F3222" s="3"/>
      <c r="G3222" s="3"/>
      <c r="H3222" s="3"/>
      <c r="I3222" s="3"/>
      <c r="J3222" s="3"/>
    </row>
    <row r="3223" spans="4:10" s="22" customFormat="1" x14ac:dyDescent="0.35">
      <c r="D3223" s="3"/>
      <c r="E3223" s="3"/>
      <c r="F3223" s="3"/>
      <c r="G3223" s="3"/>
      <c r="H3223" s="3"/>
      <c r="I3223" s="3"/>
      <c r="J3223" s="3"/>
    </row>
    <row r="3224" spans="4:10" s="22" customFormat="1" x14ac:dyDescent="0.35">
      <c r="D3224" s="3"/>
      <c r="E3224" s="3"/>
      <c r="F3224" s="3"/>
      <c r="G3224" s="3"/>
      <c r="H3224" s="3"/>
      <c r="I3224" s="3"/>
      <c r="J3224" s="3"/>
    </row>
    <row r="3225" spans="4:10" s="22" customFormat="1" x14ac:dyDescent="0.35">
      <c r="D3225" s="3"/>
      <c r="E3225" s="3"/>
      <c r="F3225" s="3"/>
      <c r="G3225" s="3"/>
      <c r="H3225" s="3"/>
      <c r="I3225" s="3"/>
      <c r="J3225" s="3"/>
    </row>
    <row r="3226" spans="4:10" s="22" customFormat="1" x14ac:dyDescent="0.35">
      <c r="D3226" s="3"/>
      <c r="E3226" s="3"/>
      <c r="F3226" s="3"/>
      <c r="G3226" s="3"/>
      <c r="H3226" s="3"/>
      <c r="I3226" s="3"/>
      <c r="J3226" s="3"/>
    </row>
    <row r="3227" spans="4:10" s="22" customFormat="1" x14ac:dyDescent="0.35">
      <c r="D3227" s="3"/>
      <c r="E3227" s="3"/>
      <c r="F3227" s="3"/>
      <c r="G3227" s="3"/>
      <c r="H3227" s="3"/>
      <c r="I3227" s="3"/>
      <c r="J3227" s="3"/>
    </row>
    <row r="3228" spans="4:10" s="22" customFormat="1" x14ac:dyDescent="0.35">
      <c r="D3228" s="3"/>
      <c r="E3228" s="3"/>
      <c r="F3228" s="3"/>
      <c r="G3228" s="3"/>
      <c r="H3228" s="3"/>
      <c r="I3228" s="3"/>
      <c r="J3228" s="3"/>
    </row>
    <row r="3229" spans="4:10" s="22" customFormat="1" x14ac:dyDescent="0.35">
      <c r="D3229" s="3"/>
      <c r="E3229" s="3"/>
      <c r="F3229" s="3"/>
      <c r="G3229" s="3"/>
      <c r="H3229" s="3"/>
      <c r="I3229" s="3"/>
      <c r="J3229" s="3"/>
    </row>
    <row r="3230" spans="4:10" s="22" customFormat="1" x14ac:dyDescent="0.35">
      <c r="D3230" s="3"/>
      <c r="E3230" s="3"/>
      <c r="F3230" s="3"/>
      <c r="G3230" s="3"/>
      <c r="H3230" s="3"/>
      <c r="I3230" s="3"/>
      <c r="J3230" s="3"/>
    </row>
    <row r="3231" spans="4:10" s="22" customFormat="1" x14ac:dyDescent="0.35">
      <c r="D3231" s="3"/>
      <c r="E3231" s="3"/>
      <c r="F3231" s="3"/>
      <c r="G3231" s="3"/>
      <c r="H3231" s="3"/>
      <c r="I3231" s="3"/>
      <c r="J3231" s="3"/>
    </row>
    <row r="3232" spans="4:10" s="22" customFormat="1" x14ac:dyDescent="0.35">
      <c r="D3232" s="3"/>
      <c r="E3232" s="3"/>
      <c r="F3232" s="3"/>
      <c r="G3232" s="3"/>
      <c r="H3232" s="3"/>
      <c r="I3232" s="3"/>
      <c r="J3232" s="3"/>
    </row>
    <row r="3233" spans="4:10" s="22" customFormat="1" x14ac:dyDescent="0.35">
      <c r="D3233" s="3"/>
      <c r="E3233" s="3"/>
      <c r="F3233" s="3"/>
      <c r="G3233" s="3"/>
      <c r="H3233" s="3"/>
      <c r="I3233" s="3"/>
      <c r="J3233" s="3"/>
    </row>
    <row r="3234" spans="4:10" s="22" customFormat="1" x14ac:dyDescent="0.35">
      <c r="D3234" s="3"/>
      <c r="E3234" s="3"/>
      <c r="F3234" s="3"/>
      <c r="G3234" s="3"/>
      <c r="H3234" s="3"/>
      <c r="I3234" s="3"/>
      <c r="J3234" s="3"/>
    </row>
    <row r="3235" spans="4:10" s="22" customFormat="1" x14ac:dyDescent="0.35">
      <c r="D3235" s="3"/>
      <c r="E3235" s="3"/>
      <c r="F3235" s="3"/>
      <c r="G3235" s="3"/>
      <c r="H3235" s="3"/>
      <c r="I3235" s="3"/>
      <c r="J3235" s="3"/>
    </row>
    <row r="3236" spans="4:10" s="22" customFormat="1" x14ac:dyDescent="0.35">
      <c r="D3236" s="3"/>
      <c r="E3236" s="3"/>
      <c r="F3236" s="3"/>
      <c r="G3236" s="3"/>
      <c r="H3236" s="3"/>
      <c r="I3236" s="3"/>
      <c r="J3236" s="3"/>
    </row>
    <row r="3237" spans="4:10" s="22" customFormat="1" x14ac:dyDescent="0.35">
      <c r="D3237" s="3"/>
      <c r="E3237" s="3"/>
      <c r="F3237" s="3"/>
      <c r="G3237" s="3"/>
      <c r="H3237" s="3"/>
      <c r="I3237" s="3"/>
      <c r="J3237" s="3"/>
    </row>
    <row r="3238" spans="4:10" s="22" customFormat="1" x14ac:dyDescent="0.35">
      <c r="D3238" s="3"/>
      <c r="E3238" s="3"/>
      <c r="F3238" s="3"/>
      <c r="G3238" s="3"/>
      <c r="H3238" s="3"/>
      <c r="I3238" s="3"/>
      <c r="J3238" s="3"/>
    </row>
    <row r="3239" spans="4:10" s="22" customFormat="1" x14ac:dyDescent="0.35">
      <c r="D3239" s="3"/>
      <c r="E3239" s="3"/>
      <c r="F3239" s="3"/>
      <c r="G3239" s="3"/>
      <c r="H3239" s="3"/>
      <c r="I3239" s="3"/>
      <c r="J3239" s="3"/>
    </row>
    <row r="3240" spans="4:10" s="22" customFormat="1" x14ac:dyDescent="0.35">
      <c r="D3240" s="3"/>
      <c r="E3240" s="3"/>
      <c r="F3240" s="3"/>
      <c r="G3240" s="3"/>
      <c r="H3240" s="3"/>
      <c r="I3240" s="3"/>
      <c r="J3240" s="3"/>
    </row>
    <row r="3241" spans="4:10" s="22" customFormat="1" x14ac:dyDescent="0.35">
      <c r="D3241" s="3"/>
      <c r="E3241" s="3"/>
      <c r="F3241" s="3"/>
      <c r="G3241" s="3"/>
      <c r="H3241" s="3"/>
      <c r="I3241" s="3"/>
      <c r="J3241" s="3"/>
    </row>
    <row r="3242" spans="4:10" s="22" customFormat="1" x14ac:dyDescent="0.35">
      <c r="D3242" s="3"/>
      <c r="E3242" s="3"/>
      <c r="F3242" s="3"/>
      <c r="G3242" s="3"/>
      <c r="H3242" s="3"/>
      <c r="I3242" s="3"/>
      <c r="J3242" s="3"/>
    </row>
    <row r="3243" spans="4:10" s="22" customFormat="1" x14ac:dyDescent="0.35">
      <c r="D3243" s="3"/>
      <c r="E3243" s="3"/>
      <c r="F3243" s="3"/>
      <c r="G3243" s="3"/>
      <c r="H3243" s="3"/>
      <c r="I3243" s="3"/>
      <c r="J3243" s="3"/>
    </row>
    <row r="3244" spans="4:10" s="22" customFormat="1" x14ac:dyDescent="0.35">
      <c r="D3244" s="3"/>
      <c r="E3244" s="3"/>
      <c r="F3244" s="3"/>
      <c r="G3244" s="3"/>
      <c r="H3244" s="3"/>
      <c r="I3244" s="3"/>
      <c r="J3244" s="3"/>
    </row>
    <row r="3245" spans="4:10" s="22" customFormat="1" x14ac:dyDescent="0.35">
      <c r="D3245" s="3"/>
      <c r="E3245" s="3"/>
      <c r="F3245" s="3"/>
      <c r="G3245" s="3"/>
      <c r="H3245" s="3"/>
      <c r="I3245" s="3"/>
      <c r="J3245" s="3"/>
    </row>
    <row r="3246" spans="4:10" s="22" customFormat="1" x14ac:dyDescent="0.35">
      <c r="D3246" s="3"/>
      <c r="E3246" s="3"/>
      <c r="F3246" s="3"/>
      <c r="G3246" s="3"/>
      <c r="H3246" s="3"/>
      <c r="I3246" s="3"/>
      <c r="J3246" s="3"/>
    </row>
    <row r="3247" spans="4:10" s="22" customFormat="1" x14ac:dyDescent="0.35">
      <c r="D3247" s="3"/>
      <c r="E3247" s="3"/>
      <c r="F3247" s="3"/>
      <c r="G3247" s="3"/>
      <c r="H3247" s="3"/>
      <c r="I3247" s="3"/>
      <c r="J3247" s="3"/>
    </row>
    <row r="3248" spans="4:10" s="22" customFormat="1" x14ac:dyDescent="0.35">
      <c r="D3248" s="3"/>
      <c r="E3248" s="3"/>
      <c r="F3248" s="3"/>
      <c r="G3248" s="3"/>
      <c r="H3248" s="3"/>
      <c r="I3248" s="3"/>
      <c r="J3248" s="3"/>
    </row>
    <row r="3249" spans="4:10" s="22" customFormat="1" x14ac:dyDescent="0.35">
      <c r="D3249" s="3"/>
      <c r="E3249" s="3"/>
      <c r="F3249" s="3"/>
      <c r="G3249" s="3"/>
      <c r="H3249" s="3"/>
      <c r="I3249" s="3"/>
      <c r="J3249" s="3"/>
    </row>
    <row r="3250" spans="4:10" s="22" customFormat="1" x14ac:dyDescent="0.35">
      <c r="D3250" s="3"/>
      <c r="E3250" s="3"/>
      <c r="F3250" s="3"/>
      <c r="G3250" s="3"/>
      <c r="H3250" s="3"/>
      <c r="I3250" s="3"/>
      <c r="J3250" s="3"/>
    </row>
    <row r="3251" spans="4:10" s="22" customFormat="1" x14ac:dyDescent="0.35">
      <c r="D3251" s="3"/>
      <c r="E3251" s="3"/>
      <c r="F3251" s="3"/>
      <c r="G3251" s="3"/>
      <c r="H3251" s="3"/>
      <c r="I3251" s="3"/>
      <c r="J3251" s="3"/>
    </row>
    <row r="3252" spans="4:10" s="22" customFormat="1" x14ac:dyDescent="0.35">
      <c r="D3252" s="3"/>
      <c r="E3252" s="3"/>
      <c r="F3252" s="3"/>
      <c r="G3252" s="3"/>
      <c r="H3252" s="3"/>
      <c r="I3252" s="3"/>
      <c r="J3252" s="3"/>
    </row>
    <row r="3253" spans="4:10" s="22" customFormat="1" x14ac:dyDescent="0.35">
      <c r="D3253" s="3"/>
      <c r="E3253" s="3"/>
      <c r="F3253" s="3"/>
      <c r="G3253" s="3"/>
      <c r="H3253" s="3"/>
      <c r="I3253" s="3"/>
      <c r="J3253" s="3"/>
    </row>
    <row r="3254" spans="4:10" s="22" customFormat="1" x14ac:dyDescent="0.35">
      <c r="D3254" s="3"/>
      <c r="E3254" s="3"/>
      <c r="F3254" s="3"/>
      <c r="G3254" s="3"/>
      <c r="H3254" s="3"/>
      <c r="I3254" s="3"/>
      <c r="J3254" s="3"/>
    </row>
    <row r="3255" spans="4:10" s="22" customFormat="1" x14ac:dyDescent="0.35">
      <c r="D3255" s="3"/>
      <c r="E3255" s="3"/>
      <c r="F3255" s="3"/>
      <c r="G3255" s="3"/>
      <c r="H3255" s="3"/>
      <c r="I3255" s="3"/>
      <c r="J3255" s="3"/>
    </row>
    <row r="3256" spans="4:10" s="22" customFormat="1" x14ac:dyDescent="0.35">
      <c r="D3256" s="3"/>
      <c r="E3256" s="3"/>
      <c r="F3256" s="3"/>
      <c r="G3256" s="3"/>
      <c r="H3256" s="3"/>
      <c r="I3256" s="3"/>
      <c r="J3256" s="3"/>
    </row>
    <row r="3257" spans="4:10" s="22" customFormat="1" x14ac:dyDescent="0.35">
      <c r="D3257" s="3"/>
      <c r="E3257" s="3"/>
      <c r="F3257" s="3"/>
      <c r="G3257" s="3"/>
      <c r="H3257" s="3"/>
      <c r="I3257" s="3"/>
      <c r="J3257" s="3"/>
    </row>
    <row r="3258" spans="4:10" s="22" customFormat="1" x14ac:dyDescent="0.35">
      <c r="D3258" s="3"/>
      <c r="E3258" s="3"/>
      <c r="F3258" s="3"/>
      <c r="G3258" s="3"/>
      <c r="H3258" s="3"/>
      <c r="I3258" s="3"/>
      <c r="J3258" s="3"/>
    </row>
    <row r="3259" spans="4:10" s="22" customFormat="1" x14ac:dyDescent="0.35">
      <c r="D3259" s="3"/>
      <c r="E3259" s="3"/>
      <c r="F3259" s="3"/>
      <c r="G3259" s="3"/>
      <c r="H3259" s="3"/>
      <c r="I3259" s="3"/>
      <c r="J3259" s="3"/>
    </row>
    <row r="3260" spans="4:10" s="22" customFormat="1" x14ac:dyDescent="0.35">
      <c r="D3260" s="3"/>
      <c r="E3260" s="3"/>
      <c r="F3260" s="3"/>
      <c r="G3260" s="3"/>
      <c r="H3260" s="3"/>
      <c r="I3260" s="3"/>
      <c r="J3260" s="3"/>
    </row>
    <row r="3261" spans="4:10" s="22" customFormat="1" x14ac:dyDescent="0.35">
      <c r="D3261" s="3"/>
      <c r="E3261" s="3"/>
      <c r="F3261" s="3"/>
      <c r="G3261" s="3"/>
      <c r="H3261" s="3"/>
      <c r="I3261" s="3"/>
      <c r="J3261" s="3"/>
    </row>
    <row r="3262" spans="4:10" s="22" customFormat="1" x14ac:dyDescent="0.35">
      <c r="D3262" s="3"/>
      <c r="E3262" s="3"/>
      <c r="F3262" s="3"/>
      <c r="G3262" s="3"/>
      <c r="H3262" s="3"/>
      <c r="I3262" s="3"/>
      <c r="J3262" s="3"/>
    </row>
    <row r="3263" spans="4:10" s="22" customFormat="1" x14ac:dyDescent="0.35">
      <c r="D3263" s="3"/>
      <c r="E3263" s="3"/>
      <c r="F3263" s="3"/>
      <c r="G3263" s="3"/>
      <c r="H3263" s="3"/>
      <c r="I3263" s="3"/>
      <c r="J3263" s="3"/>
    </row>
    <row r="3264" spans="4:10" s="22" customFormat="1" x14ac:dyDescent="0.35">
      <c r="D3264" s="3"/>
      <c r="E3264" s="3"/>
      <c r="F3264" s="3"/>
      <c r="G3264" s="3"/>
      <c r="H3264" s="3"/>
      <c r="I3264" s="3"/>
      <c r="J3264" s="3"/>
    </row>
    <row r="3265" spans="4:10" s="22" customFormat="1" x14ac:dyDescent="0.35">
      <c r="D3265" s="3"/>
      <c r="E3265" s="3"/>
      <c r="F3265" s="3"/>
      <c r="G3265" s="3"/>
      <c r="H3265" s="3"/>
      <c r="I3265" s="3"/>
      <c r="J3265" s="3"/>
    </row>
    <row r="3266" spans="4:10" s="22" customFormat="1" x14ac:dyDescent="0.35">
      <c r="D3266" s="3"/>
      <c r="E3266" s="3"/>
      <c r="F3266" s="3"/>
      <c r="G3266" s="3"/>
      <c r="H3266" s="3"/>
      <c r="I3266" s="3"/>
      <c r="J3266" s="3"/>
    </row>
    <row r="3267" spans="4:10" s="22" customFormat="1" x14ac:dyDescent="0.35">
      <c r="D3267" s="3"/>
      <c r="E3267" s="3"/>
      <c r="F3267" s="3"/>
      <c r="G3267" s="3"/>
      <c r="H3267" s="3"/>
      <c r="I3267" s="3"/>
      <c r="J3267" s="3"/>
    </row>
    <row r="3268" spans="4:10" s="22" customFormat="1" x14ac:dyDescent="0.35">
      <c r="D3268" s="3"/>
      <c r="E3268" s="3"/>
      <c r="F3268" s="3"/>
      <c r="G3268" s="3"/>
      <c r="H3268" s="3"/>
      <c r="I3268" s="3"/>
      <c r="J3268" s="3"/>
    </row>
    <row r="3269" spans="4:10" s="22" customFormat="1" x14ac:dyDescent="0.35">
      <c r="D3269" s="3"/>
      <c r="E3269" s="3"/>
      <c r="F3269" s="3"/>
      <c r="G3269" s="3"/>
      <c r="H3269" s="3"/>
      <c r="I3269" s="3"/>
      <c r="J3269" s="3"/>
    </row>
    <row r="3270" spans="4:10" s="22" customFormat="1" x14ac:dyDescent="0.35">
      <c r="D3270" s="3"/>
      <c r="E3270" s="3"/>
      <c r="F3270" s="3"/>
      <c r="G3270" s="3"/>
      <c r="H3270" s="3"/>
      <c r="I3270" s="3"/>
      <c r="J3270" s="3"/>
    </row>
    <row r="3271" spans="4:10" s="22" customFormat="1" x14ac:dyDescent="0.35">
      <c r="D3271" s="3"/>
      <c r="E3271" s="3"/>
      <c r="F3271" s="3"/>
      <c r="G3271" s="3"/>
      <c r="H3271" s="3"/>
      <c r="I3271" s="3"/>
      <c r="J3271" s="3"/>
    </row>
    <row r="3272" spans="4:10" s="22" customFormat="1" x14ac:dyDescent="0.35">
      <c r="D3272" s="3"/>
      <c r="E3272" s="3"/>
      <c r="F3272" s="3"/>
      <c r="G3272" s="3"/>
      <c r="H3272" s="3"/>
      <c r="I3272" s="3"/>
      <c r="J3272" s="3"/>
    </row>
    <row r="3273" spans="4:10" s="22" customFormat="1" x14ac:dyDescent="0.35">
      <c r="D3273" s="3"/>
      <c r="E3273" s="3"/>
      <c r="F3273" s="3"/>
      <c r="G3273" s="3"/>
      <c r="H3273" s="3"/>
      <c r="I3273" s="3"/>
      <c r="J3273" s="3"/>
    </row>
    <row r="3274" spans="4:10" s="22" customFormat="1" x14ac:dyDescent="0.35">
      <c r="D3274" s="3"/>
      <c r="E3274" s="3"/>
      <c r="F3274" s="3"/>
      <c r="G3274" s="3"/>
      <c r="H3274" s="3"/>
      <c r="I3274" s="3"/>
      <c r="J3274" s="3"/>
    </row>
    <row r="3275" spans="4:10" s="22" customFormat="1" x14ac:dyDescent="0.35">
      <c r="D3275" s="3"/>
      <c r="E3275" s="3"/>
      <c r="F3275" s="3"/>
      <c r="G3275" s="3"/>
      <c r="H3275" s="3"/>
      <c r="I3275" s="3"/>
      <c r="J3275" s="3"/>
    </row>
    <row r="3276" spans="4:10" s="22" customFormat="1" x14ac:dyDescent="0.35">
      <c r="D3276" s="3"/>
      <c r="E3276" s="3"/>
      <c r="F3276" s="3"/>
      <c r="G3276" s="3"/>
      <c r="H3276" s="3"/>
      <c r="I3276" s="3"/>
      <c r="J3276" s="3"/>
    </row>
    <row r="3277" spans="4:10" s="22" customFormat="1" x14ac:dyDescent="0.35">
      <c r="D3277" s="3"/>
      <c r="E3277" s="3"/>
      <c r="F3277" s="3"/>
      <c r="G3277" s="3"/>
      <c r="H3277" s="3"/>
      <c r="I3277" s="3"/>
      <c r="J3277" s="3"/>
    </row>
    <row r="3278" spans="4:10" s="22" customFormat="1" x14ac:dyDescent="0.35">
      <c r="D3278" s="3"/>
      <c r="E3278" s="3"/>
      <c r="F3278" s="3"/>
      <c r="G3278" s="3"/>
      <c r="H3278" s="3"/>
      <c r="I3278" s="3"/>
      <c r="J3278" s="3"/>
    </row>
    <row r="3279" spans="4:10" s="22" customFormat="1" x14ac:dyDescent="0.35">
      <c r="D3279" s="3"/>
      <c r="E3279" s="3"/>
      <c r="F3279" s="3"/>
      <c r="G3279" s="3"/>
      <c r="H3279" s="3"/>
      <c r="I3279" s="3"/>
      <c r="J3279" s="3"/>
    </row>
    <row r="3280" spans="4:10" s="22" customFormat="1" x14ac:dyDescent="0.35">
      <c r="D3280" s="3"/>
      <c r="E3280" s="3"/>
      <c r="F3280" s="3"/>
      <c r="G3280" s="3"/>
      <c r="H3280" s="3"/>
      <c r="I3280" s="3"/>
      <c r="J3280" s="3"/>
    </row>
    <row r="3281" spans="4:10" s="22" customFormat="1" x14ac:dyDescent="0.35">
      <c r="D3281" s="3"/>
      <c r="E3281" s="3"/>
      <c r="F3281" s="3"/>
      <c r="G3281" s="3"/>
      <c r="H3281" s="3"/>
      <c r="I3281" s="3"/>
      <c r="J3281" s="3"/>
    </row>
    <row r="3282" spans="4:10" s="22" customFormat="1" x14ac:dyDescent="0.35">
      <c r="D3282" s="3"/>
      <c r="E3282" s="3"/>
      <c r="F3282" s="3"/>
      <c r="G3282" s="3"/>
      <c r="H3282" s="3"/>
      <c r="I3282" s="3"/>
      <c r="J3282" s="3"/>
    </row>
    <row r="3283" spans="4:10" s="22" customFormat="1" x14ac:dyDescent="0.35">
      <c r="D3283" s="3"/>
      <c r="E3283" s="3"/>
      <c r="F3283" s="3"/>
      <c r="G3283" s="3"/>
      <c r="H3283" s="3"/>
      <c r="I3283" s="3"/>
      <c r="J3283" s="3"/>
    </row>
    <row r="3284" spans="4:10" s="22" customFormat="1" x14ac:dyDescent="0.35">
      <c r="D3284" s="3"/>
      <c r="E3284" s="3"/>
      <c r="F3284" s="3"/>
      <c r="G3284" s="3"/>
      <c r="H3284" s="3"/>
      <c r="I3284" s="3"/>
      <c r="J3284" s="3"/>
    </row>
    <row r="3285" spans="4:10" s="22" customFormat="1" x14ac:dyDescent="0.35">
      <c r="D3285" s="3"/>
      <c r="E3285" s="3"/>
      <c r="F3285" s="3"/>
      <c r="G3285" s="3"/>
      <c r="H3285" s="3"/>
      <c r="I3285" s="3"/>
      <c r="J3285" s="3"/>
    </row>
    <row r="3286" spans="4:10" s="22" customFormat="1" x14ac:dyDescent="0.35">
      <c r="D3286" s="3"/>
      <c r="E3286" s="3"/>
      <c r="F3286" s="3"/>
      <c r="G3286" s="3"/>
      <c r="H3286" s="3"/>
      <c r="I3286" s="3"/>
      <c r="J3286" s="3"/>
    </row>
    <row r="3287" spans="4:10" s="22" customFormat="1" x14ac:dyDescent="0.35">
      <c r="D3287" s="3"/>
      <c r="E3287" s="3"/>
      <c r="F3287" s="3"/>
      <c r="G3287" s="3"/>
      <c r="H3287" s="3"/>
      <c r="I3287" s="3"/>
      <c r="J3287" s="3"/>
    </row>
    <row r="3288" spans="4:10" s="22" customFormat="1" x14ac:dyDescent="0.35">
      <c r="D3288" s="3"/>
      <c r="E3288" s="3"/>
      <c r="F3288" s="3"/>
      <c r="G3288" s="3"/>
      <c r="H3288" s="3"/>
      <c r="I3288" s="3"/>
      <c r="J3288" s="3"/>
    </row>
    <row r="3289" spans="4:10" s="22" customFormat="1" x14ac:dyDescent="0.35">
      <c r="D3289" s="3"/>
      <c r="E3289" s="3"/>
      <c r="F3289" s="3"/>
      <c r="G3289" s="3"/>
      <c r="H3289" s="3"/>
      <c r="I3289" s="3"/>
      <c r="J3289" s="3"/>
    </row>
    <row r="3290" spans="4:10" s="22" customFormat="1" x14ac:dyDescent="0.35">
      <c r="D3290" s="3"/>
      <c r="E3290" s="3"/>
      <c r="F3290" s="3"/>
      <c r="G3290" s="3"/>
      <c r="H3290" s="3"/>
      <c r="I3290" s="3"/>
      <c r="J3290" s="3"/>
    </row>
    <row r="3291" spans="4:10" s="22" customFormat="1" x14ac:dyDescent="0.35">
      <c r="D3291" s="3"/>
      <c r="E3291" s="3"/>
      <c r="F3291" s="3"/>
      <c r="G3291" s="3"/>
      <c r="H3291" s="3"/>
      <c r="I3291" s="3"/>
      <c r="J3291" s="3"/>
    </row>
    <row r="3292" spans="4:10" s="22" customFormat="1" x14ac:dyDescent="0.35">
      <c r="D3292" s="3"/>
      <c r="E3292" s="3"/>
      <c r="F3292" s="3"/>
      <c r="G3292" s="3"/>
      <c r="H3292" s="3"/>
      <c r="I3292" s="3"/>
      <c r="J3292" s="3"/>
    </row>
    <row r="3293" spans="4:10" s="22" customFormat="1" x14ac:dyDescent="0.35">
      <c r="D3293" s="3"/>
      <c r="E3293" s="3"/>
      <c r="F3293" s="3"/>
      <c r="G3293" s="3"/>
      <c r="H3293" s="3"/>
      <c r="I3293" s="3"/>
      <c r="J3293" s="3"/>
    </row>
    <row r="3294" spans="4:10" s="22" customFormat="1" x14ac:dyDescent="0.35">
      <c r="D3294" s="3"/>
      <c r="E3294" s="3"/>
      <c r="F3294" s="3"/>
      <c r="G3294" s="3"/>
      <c r="H3294" s="3"/>
      <c r="I3294" s="3"/>
      <c r="J3294" s="3"/>
    </row>
    <row r="3295" spans="4:10" s="22" customFormat="1" x14ac:dyDescent="0.35">
      <c r="D3295" s="3"/>
      <c r="E3295" s="3"/>
      <c r="F3295" s="3"/>
      <c r="G3295" s="3"/>
      <c r="H3295" s="3"/>
      <c r="I3295" s="3"/>
      <c r="J3295" s="3"/>
    </row>
    <row r="3296" spans="4:10" s="22" customFormat="1" x14ac:dyDescent="0.35">
      <c r="D3296" s="3"/>
      <c r="E3296" s="3"/>
      <c r="F3296" s="3"/>
      <c r="G3296" s="3"/>
      <c r="H3296" s="3"/>
      <c r="I3296" s="3"/>
      <c r="J3296" s="3"/>
    </row>
    <row r="3297" spans="4:10" s="22" customFormat="1" x14ac:dyDescent="0.35">
      <c r="D3297" s="3"/>
      <c r="E3297" s="3"/>
      <c r="F3297" s="3"/>
      <c r="G3297" s="3"/>
      <c r="H3297" s="3"/>
      <c r="I3297" s="3"/>
      <c r="J3297" s="3"/>
    </row>
    <row r="3298" spans="4:10" s="22" customFormat="1" x14ac:dyDescent="0.35">
      <c r="D3298" s="3"/>
      <c r="E3298" s="3"/>
      <c r="F3298" s="3"/>
      <c r="G3298" s="3"/>
      <c r="H3298" s="3"/>
      <c r="I3298" s="3"/>
      <c r="J3298" s="3"/>
    </row>
    <row r="3299" spans="4:10" s="22" customFormat="1" x14ac:dyDescent="0.35">
      <c r="D3299" s="3"/>
      <c r="E3299" s="3"/>
      <c r="F3299" s="3"/>
      <c r="G3299" s="3"/>
      <c r="H3299" s="3"/>
      <c r="I3299" s="3"/>
      <c r="J3299" s="3"/>
    </row>
    <row r="3300" spans="4:10" s="22" customFormat="1" x14ac:dyDescent="0.35">
      <c r="D3300" s="3"/>
      <c r="E3300" s="3"/>
      <c r="F3300" s="3"/>
      <c r="G3300" s="3"/>
      <c r="H3300" s="3"/>
      <c r="I3300" s="3"/>
      <c r="J3300" s="3"/>
    </row>
    <row r="3301" spans="4:10" s="22" customFormat="1" x14ac:dyDescent="0.35">
      <c r="D3301" s="3"/>
      <c r="E3301" s="3"/>
      <c r="F3301" s="3"/>
      <c r="G3301" s="3"/>
      <c r="H3301" s="3"/>
      <c r="I3301" s="3"/>
      <c r="J3301" s="3"/>
    </row>
    <row r="3302" spans="4:10" s="22" customFormat="1" x14ac:dyDescent="0.35">
      <c r="D3302" s="3"/>
      <c r="E3302" s="3"/>
      <c r="F3302" s="3"/>
      <c r="G3302" s="3"/>
      <c r="H3302" s="3"/>
      <c r="I3302" s="3"/>
      <c r="J3302" s="3"/>
    </row>
    <row r="3303" spans="4:10" s="22" customFormat="1" x14ac:dyDescent="0.35">
      <c r="D3303" s="3"/>
      <c r="E3303" s="3"/>
      <c r="F3303" s="3"/>
      <c r="G3303" s="3"/>
      <c r="H3303" s="3"/>
      <c r="I3303" s="3"/>
      <c r="J3303" s="3"/>
    </row>
    <row r="3304" spans="4:10" s="22" customFormat="1" x14ac:dyDescent="0.35">
      <c r="D3304" s="3"/>
      <c r="E3304" s="3"/>
      <c r="F3304" s="3"/>
      <c r="G3304" s="3"/>
      <c r="H3304" s="3"/>
      <c r="I3304" s="3"/>
      <c r="J3304" s="3"/>
    </row>
    <row r="3305" spans="4:10" s="22" customFormat="1" x14ac:dyDescent="0.35">
      <c r="D3305" s="3"/>
      <c r="E3305" s="3"/>
      <c r="F3305" s="3"/>
      <c r="G3305" s="3"/>
      <c r="H3305" s="3"/>
      <c r="I3305" s="3"/>
      <c r="J3305" s="3"/>
    </row>
    <row r="3306" spans="4:10" s="22" customFormat="1" x14ac:dyDescent="0.35">
      <c r="D3306" s="3"/>
      <c r="E3306" s="3"/>
      <c r="F3306" s="3"/>
      <c r="G3306" s="3"/>
      <c r="H3306" s="3"/>
      <c r="I3306" s="3"/>
      <c r="J3306" s="3"/>
    </row>
    <row r="3307" spans="4:10" s="22" customFormat="1" x14ac:dyDescent="0.35">
      <c r="D3307" s="3"/>
      <c r="E3307" s="3"/>
      <c r="F3307" s="3"/>
      <c r="G3307" s="3"/>
      <c r="H3307" s="3"/>
      <c r="I3307" s="3"/>
      <c r="J3307" s="3"/>
    </row>
    <row r="3308" spans="4:10" s="22" customFormat="1" x14ac:dyDescent="0.35">
      <c r="D3308" s="3"/>
      <c r="E3308" s="3"/>
      <c r="F3308" s="3"/>
      <c r="G3308" s="3"/>
      <c r="H3308" s="3"/>
      <c r="I3308" s="3"/>
      <c r="J3308" s="3"/>
    </row>
    <row r="3309" spans="4:10" s="22" customFormat="1" x14ac:dyDescent="0.35">
      <c r="D3309" s="3"/>
      <c r="E3309" s="3"/>
      <c r="F3309" s="3"/>
      <c r="G3309" s="3"/>
      <c r="H3309" s="3"/>
      <c r="I3309" s="3"/>
      <c r="J3309" s="3"/>
    </row>
    <row r="3310" spans="4:10" s="22" customFormat="1" x14ac:dyDescent="0.35">
      <c r="D3310" s="3"/>
      <c r="E3310" s="3"/>
      <c r="F3310" s="3"/>
      <c r="G3310" s="3"/>
      <c r="H3310" s="3"/>
      <c r="I3310" s="3"/>
      <c r="J3310" s="3"/>
    </row>
    <row r="3311" spans="4:10" s="22" customFormat="1" x14ac:dyDescent="0.35">
      <c r="D3311" s="3"/>
      <c r="E3311" s="3"/>
      <c r="F3311" s="3"/>
      <c r="G3311" s="3"/>
      <c r="H3311" s="3"/>
      <c r="I3311" s="3"/>
      <c r="J3311" s="3"/>
    </row>
    <row r="3312" spans="4:10" s="22" customFormat="1" x14ac:dyDescent="0.35">
      <c r="D3312" s="3"/>
      <c r="E3312" s="3"/>
      <c r="F3312" s="3"/>
      <c r="G3312" s="3"/>
      <c r="H3312" s="3"/>
      <c r="I3312" s="3"/>
      <c r="J3312" s="3"/>
    </row>
    <row r="3313" spans="4:10" s="22" customFormat="1" x14ac:dyDescent="0.35">
      <c r="D3313" s="3"/>
      <c r="E3313" s="3"/>
      <c r="F3313" s="3"/>
      <c r="G3313" s="3"/>
      <c r="H3313" s="3"/>
      <c r="I3313" s="3"/>
      <c r="J3313" s="3"/>
    </row>
    <row r="3314" spans="4:10" s="22" customFormat="1" x14ac:dyDescent="0.35">
      <c r="D3314" s="3"/>
      <c r="E3314" s="3"/>
      <c r="F3314" s="3"/>
      <c r="G3314" s="3"/>
      <c r="H3314" s="3"/>
      <c r="I3314" s="3"/>
      <c r="J3314" s="3"/>
    </row>
    <row r="3315" spans="4:10" s="22" customFormat="1" x14ac:dyDescent="0.35">
      <c r="D3315" s="3"/>
      <c r="E3315" s="3"/>
      <c r="F3315" s="3"/>
      <c r="G3315" s="3"/>
      <c r="H3315" s="3"/>
      <c r="I3315" s="3"/>
      <c r="J3315" s="3"/>
    </row>
    <row r="3316" spans="4:10" s="22" customFormat="1" x14ac:dyDescent="0.35">
      <c r="D3316" s="3"/>
      <c r="E3316" s="3"/>
      <c r="F3316" s="3"/>
      <c r="G3316" s="3"/>
      <c r="H3316" s="3"/>
      <c r="I3316" s="3"/>
      <c r="J3316" s="3"/>
    </row>
    <row r="3317" spans="4:10" s="22" customFormat="1" x14ac:dyDescent="0.35">
      <c r="D3317" s="3"/>
      <c r="E3317" s="3"/>
      <c r="F3317" s="3"/>
      <c r="G3317" s="3"/>
      <c r="H3317" s="3"/>
      <c r="I3317" s="3"/>
      <c r="J3317" s="3"/>
    </row>
    <row r="3318" spans="4:10" s="22" customFormat="1" x14ac:dyDescent="0.35">
      <c r="D3318" s="3"/>
      <c r="E3318" s="3"/>
      <c r="F3318" s="3"/>
      <c r="G3318" s="3"/>
      <c r="H3318" s="3"/>
      <c r="I3318" s="3"/>
      <c r="J3318" s="3"/>
    </row>
    <row r="3319" spans="4:10" s="22" customFormat="1" x14ac:dyDescent="0.35">
      <c r="D3319" s="3"/>
      <c r="E3319" s="3"/>
      <c r="F3319" s="3"/>
      <c r="G3319" s="3"/>
      <c r="H3319" s="3"/>
      <c r="I3319" s="3"/>
      <c r="J3319" s="3"/>
    </row>
    <row r="3320" spans="4:10" s="22" customFormat="1" x14ac:dyDescent="0.35">
      <c r="D3320" s="3"/>
      <c r="E3320" s="3"/>
      <c r="F3320" s="3"/>
      <c r="G3320" s="3"/>
      <c r="H3320" s="3"/>
      <c r="I3320" s="3"/>
      <c r="J3320" s="3"/>
    </row>
    <row r="3321" spans="4:10" s="22" customFormat="1" x14ac:dyDescent="0.35">
      <c r="D3321" s="3"/>
      <c r="E3321" s="3"/>
      <c r="F3321" s="3"/>
      <c r="G3321" s="3"/>
      <c r="H3321" s="3"/>
      <c r="I3321" s="3"/>
      <c r="J3321" s="3"/>
    </row>
    <row r="3322" spans="4:10" s="22" customFormat="1" x14ac:dyDescent="0.35">
      <c r="D3322" s="3"/>
      <c r="E3322" s="3"/>
      <c r="F3322" s="3"/>
      <c r="G3322" s="3"/>
      <c r="H3322" s="3"/>
      <c r="I3322" s="3"/>
      <c r="J3322" s="3"/>
    </row>
    <row r="3323" spans="4:10" s="22" customFormat="1" x14ac:dyDescent="0.35">
      <c r="D3323" s="3"/>
      <c r="E3323" s="3"/>
      <c r="F3323" s="3"/>
      <c r="G3323" s="3"/>
      <c r="H3323" s="3"/>
      <c r="I3323" s="3"/>
      <c r="J3323" s="3"/>
    </row>
    <row r="3324" spans="4:10" s="22" customFormat="1" x14ac:dyDescent="0.35">
      <c r="D3324" s="3"/>
      <c r="E3324" s="3"/>
      <c r="F3324" s="3"/>
      <c r="G3324" s="3"/>
      <c r="H3324" s="3"/>
      <c r="I3324" s="3"/>
      <c r="J3324" s="3"/>
    </row>
    <row r="3325" spans="4:10" s="22" customFormat="1" x14ac:dyDescent="0.35">
      <c r="D3325" s="3"/>
      <c r="E3325" s="3"/>
      <c r="F3325" s="3"/>
      <c r="G3325" s="3"/>
      <c r="H3325" s="3"/>
      <c r="I3325" s="3"/>
      <c r="J3325" s="3"/>
    </row>
    <row r="3326" spans="4:10" s="22" customFormat="1" x14ac:dyDescent="0.35">
      <c r="D3326" s="3"/>
      <c r="E3326" s="3"/>
      <c r="F3326" s="3"/>
      <c r="G3326" s="3"/>
      <c r="H3326" s="3"/>
      <c r="I3326" s="3"/>
      <c r="J3326" s="3"/>
    </row>
    <row r="3327" spans="4:10" s="22" customFormat="1" x14ac:dyDescent="0.35">
      <c r="D3327" s="3"/>
      <c r="E3327" s="3"/>
      <c r="F3327" s="3"/>
      <c r="G3327" s="3"/>
      <c r="H3327" s="3"/>
      <c r="I3327" s="3"/>
      <c r="J3327" s="3"/>
    </row>
    <row r="3328" spans="4:10" s="22" customFormat="1" x14ac:dyDescent="0.35">
      <c r="D3328" s="3"/>
      <c r="E3328" s="3"/>
      <c r="F3328" s="3"/>
      <c r="G3328" s="3"/>
      <c r="H3328" s="3"/>
      <c r="I3328" s="3"/>
      <c r="J3328" s="3"/>
    </row>
    <row r="3329" spans="4:10" s="22" customFormat="1" x14ac:dyDescent="0.35">
      <c r="D3329" s="3"/>
      <c r="E3329" s="3"/>
      <c r="F3329" s="3"/>
      <c r="G3329" s="3"/>
      <c r="H3329" s="3"/>
      <c r="I3329" s="3"/>
      <c r="J3329" s="3"/>
    </row>
    <row r="3330" spans="4:10" s="22" customFormat="1" x14ac:dyDescent="0.35">
      <c r="D3330" s="3"/>
      <c r="E3330" s="3"/>
      <c r="F3330" s="3"/>
      <c r="G3330" s="3"/>
      <c r="H3330" s="3"/>
      <c r="I3330" s="3"/>
      <c r="J3330" s="3"/>
    </row>
    <row r="3331" spans="4:10" s="22" customFormat="1" x14ac:dyDescent="0.35">
      <c r="D3331" s="3"/>
      <c r="E3331" s="3"/>
      <c r="F3331" s="3"/>
      <c r="G3331" s="3"/>
      <c r="H3331" s="3"/>
      <c r="I3331" s="3"/>
      <c r="J3331" s="3"/>
    </row>
    <row r="3332" spans="4:10" s="22" customFormat="1" x14ac:dyDescent="0.35">
      <c r="D3332" s="3"/>
      <c r="E3332" s="3"/>
      <c r="F3332" s="3"/>
      <c r="G3332" s="3"/>
      <c r="H3332" s="3"/>
      <c r="I3332" s="3"/>
      <c r="J3332" s="3"/>
    </row>
    <row r="3333" spans="4:10" s="22" customFormat="1" x14ac:dyDescent="0.35">
      <c r="D3333" s="3"/>
      <c r="E3333" s="3"/>
      <c r="F3333" s="3"/>
      <c r="G3333" s="3"/>
      <c r="H3333" s="3"/>
      <c r="I3333" s="3"/>
      <c r="J3333" s="3"/>
    </row>
    <row r="3334" spans="4:10" s="22" customFormat="1" x14ac:dyDescent="0.35">
      <c r="D3334" s="3"/>
      <c r="E3334" s="3"/>
      <c r="F3334" s="3"/>
      <c r="G3334" s="3"/>
      <c r="H3334" s="3"/>
      <c r="I3334" s="3"/>
      <c r="J3334" s="3"/>
    </row>
    <row r="3335" spans="4:10" s="22" customFormat="1" x14ac:dyDescent="0.35">
      <c r="D3335" s="3"/>
      <c r="E3335" s="3"/>
      <c r="F3335" s="3"/>
      <c r="G3335" s="3"/>
      <c r="H3335" s="3"/>
      <c r="I3335" s="3"/>
      <c r="J3335" s="3"/>
    </row>
    <row r="3336" spans="4:10" s="22" customFormat="1" x14ac:dyDescent="0.35">
      <c r="D3336" s="3"/>
      <c r="E3336" s="3"/>
      <c r="F3336" s="3"/>
      <c r="G3336" s="3"/>
      <c r="H3336" s="3"/>
      <c r="I3336" s="3"/>
      <c r="J3336" s="3"/>
    </row>
    <row r="3337" spans="4:10" s="22" customFormat="1" x14ac:dyDescent="0.35">
      <c r="D3337" s="3"/>
      <c r="E3337" s="3"/>
      <c r="F3337" s="3"/>
      <c r="G3337" s="3"/>
      <c r="H3337" s="3"/>
      <c r="I3337" s="3"/>
      <c r="J3337" s="3"/>
    </row>
    <row r="3338" spans="4:10" s="22" customFormat="1" x14ac:dyDescent="0.35">
      <c r="D3338" s="3"/>
      <c r="E3338" s="3"/>
      <c r="F3338" s="3"/>
      <c r="G3338" s="3"/>
      <c r="H3338" s="3"/>
      <c r="I3338" s="3"/>
      <c r="J3338" s="3"/>
    </row>
    <row r="3339" spans="4:10" s="22" customFormat="1" x14ac:dyDescent="0.35">
      <c r="D3339" s="3"/>
      <c r="E3339" s="3"/>
      <c r="F3339" s="3"/>
      <c r="G3339" s="3"/>
      <c r="H3339" s="3"/>
      <c r="I3339" s="3"/>
      <c r="J3339" s="3"/>
    </row>
    <row r="3340" spans="4:10" s="22" customFormat="1" x14ac:dyDescent="0.35">
      <c r="D3340" s="3"/>
      <c r="E3340" s="3"/>
      <c r="F3340" s="3"/>
      <c r="G3340" s="3"/>
      <c r="H3340" s="3"/>
      <c r="I3340" s="3"/>
      <c r="J3340" s="3"/>
    </row>
    <row r="3341" spans="4:10" s="22" customFormat="1" x14ac:dyDescent="0.35">
      <c r="D3341" s="3"/>
      <c r="E3341" s="3"/>
      <c r="F3341" s="3"/>
      <c r="G3341" s="3"/>
      <c r="H3341" s="3"/>
      <c r="I3341" s="3"/>
      <c r="J3341" s="3"/>
    </row>
    <row r="3342" spans="4:10" s="22" customFormat="1" x14ac:dyDescent="0.35">
      <c r="D3342" s="3"/>
      <c r="E3342" s="3"/>
      <c r="F3342" s="3"/>
      <c r="G3342" s="3"/>
      <c r="H3342" s="3"/>
      <c r="I3342" s="3"/>
      <c r="J3342" s="3"/>
    </row>
    <row r="3343" spans="4:10" s="22" customFormat="1" x14ac:dyDescent="0.35">
      <c r="D3343" s="3"/>
      <c r="E3343" s="3"/>
      <c r="F3343" s="3"/>
      <c r="G3343" s="3"/>
      <c r="H3343" s="3"/>
      <c r="I3343" s="3"/>
      <c r="J3343" s="3"/>
    </row>
    <row r="3344" spans="4:10" s="22" customFormat="1" x14ac:dyDescent="0.35">
      <c r="D3344" s="3"/>
      <c r="E3344" s="3"/>
      <c r="F3344" s="3"/>
      <c r="G3344" s="3"/>
      <c r="H3344" s="3"/>
      <c r="I3344" s="3"/>
      <c r="J3344" s="3"/>
    </row>
    <row r="3345" spans="4:10" s="22" customFormat="1" x14ac:dyDescent="0.35">
      <c r="D3345" s="3"/>
      <c r="E3345" s="3"/>
      <c r="F3345" s="3"/>
      <c r="G3345" s="3"/>
      <c r="H3345" s="3"/>
      <c r="I3345" s="3"/>
      <c r="J3345" s="3"/>
    </row>
    <row r="3346" spans="4:10" s="22" customFormat="1" x14ac:dyDescent="0.35">
      <c r="D3346" s="3"/>
      <c r="E3346" s="3"/>
      <c r="F3346" s="3"/>
      <c r="G3346" s="3"/>
      <c r="H3346" s="3"/>
      <c r="I3346" s="3"/>
      <c r="J3346" s="3"/>
    </row>
    <row r="3347" spans="4:10" s="22" customFormat="1" x14ac:dyDescent="0.35">
      <c r="D3347" s="3"/>
      <c r="E3347" s="3"/>
      <c r="F3347" s="3"/>
      <c r="G3347" s="3"/>
      <c r="H3347" s="3"/>
      <c r="I3347" s="3"/>
      <c r="J3347" s="3"/>
    </row>
    <row r="3348" spans="4:10" s="22" customFormat="1" x14ac:dyDescent="0.35">
      <c r="D3348" s="3"/>
      <c r="E3348" s="3"/>
      <c r="F3348" s="3"/>
      <c r="G3348" s="3"/>
      <c r="H3348" s="3"/>
      <c r="I3348" s="3"/>
      <c r="J3348" s="3"/>
    </row>
    <row r="3349" spans="4:10" s="22" customFormat="1" x14ac:dyDescent="0.35">
      <c r="D3349" s="3"/>
      <c r="E3349" s="3"/>
      <c r="F3349" s="3"/>
      <c r="G3349" s="3"/>
      <c r="H3349" s="3"/>
      <c r="I3349" s="3"/>
      <c r="J3349" s="3"/>
    </row>
    <row r="3350" spans="4:10" s="22" customFormat="1" x14ac:dyDescent="0.35">
      <c r="D3350" s="3"/>
      <c r="E3350" s="3"/>
      <c r="F3350" s="3"/>
      <c r="G3350" s="3"/>
      <c r="H3350" s="3"/>
      <c r="I3350" s="3"/>
      <c r="J3350" s="3"/>
    </row>
    <row r="3351" spans="4:10" s="22" customFormat="1" x14ac:dyDescent="0.35">
      <c r="D3351" s="3"/>
      <c r="E3351" s="3"/>
      <c r="F3351" s="3"/>
      <c r="G3351" s="3"/>
      <c r="H3351" s="3"/>
      <c r="I3351" s="3"/>
      <c r="J3351" s="3"/>
    </row>
    <row r="3352" spans="4:10" s="22" customFormat="1" x14ac:dyDescent="0.35">
      <c r="D3352" s="3"/>
      <c r="E3352" s="3"/>
      <c r="F3352" s="3"/>
      <c r="G3352" s="3"/>
      <c r="H3352" s="3"/>
      <c r="I3352" s="3"/>
      <c r="J3352" s="3"/>
    </row>
    <row r="3353" spans="4:10" s="22" customFormat="1" x14ac:dyDescent="0.35">
      <c r="D3353" s="3"/>
      <c r="E3353" s="3"/>
      <c r="F3353" s="3"/>
      <c r="G3353" s="3"/>
      <c r="H3353" s="3"/>
      <c r="I3353" s="3"/>
      <c r="J3353" s="3"/>
    </row>
    <row r="3354" spans="4:10" s="22" customFormat="1" x14ac:dyDescent="0.35">
      <c r="D3354" s="3"/>
      <c r="E3354" s="3"/>
      <c r="F3354" s="3"/>
      <c r="G3354" s="3"/>
      <c r="H3354" s="3"/>
      <c r="I3354" s="3"/>
      <c r="J3354" s="3"/>
    </row>
    <row r="3355" spans="4:10" s="22" customFormat="1" x14ac:dyDescent="0.35">
      <c r="D3355" s="3"/>
      <c r="E3355" s="3"/>
      <c r="F3355" s="3"/>
      <c r="G3355" s="3"/>
      <c r="H3355" s="3"/>
      <c r="I3355" s="3"/>
      <c r="J3355" s="3"/>
    </row>
    <row r="3356" spans="4:10" s="22" customFormat="1" x14ac:dyDescent="0.35">
      <c r="D3356" s="3"/>
      <c r="E3356" s="3"/>
      <c r="F3356" s="3"/>
      <c r="G3356" s="3"/>
      <c r="H3356" s="3"/>
      <c r="I3356" s="3"/>
      <c r="J3356" s="3"/>
    </row>
    <row r="3357" spans="4:10" s="22" customFormat="1" x14ac:dyDescent="0.35">
      <c r="D3357" s="3"/>
      <c r="E3357" s="3"/>
      <c r="F3357" s="3"/>
      <c r="G3357" s="3"/>
      <c r="H3357" s="3"/>
      <c r="I3357" s="3"/>
      <c r="J3357" s="3"/>
    </row>
    <row r="3358" spans="4:10" s="22" customFormat="1" x14ac:dyDescent="0.35">
      <c r="D3358" s="3"/>
      <c r="E3358" s="3"/>
      <c r="F3358" s="3"/>
      <c r="G3358" s="3"/>
      <c r="H3358" s="3"/>
      <c r="I3358" s="3"/>
      <c r="J3358" s="3"/>
    </row>
    <row r="3359" spans="4:10" s="22" customFormat="1" x14ac:dyDescent="0.35">
      <c r="D3359" s="3"/>
      <c r="E3359" s="3"/>
      <c r="F3359" s="3"/>
      <c r="G3359" s="3"/>
      <c r="H3359" s="3"/>
      <c r="I3359" s="3"/>
      <c r="J3359" s="3"/>
    </row>
    <row r="3360" spans="4:10" s="22" customFormat="1" x14ac:dyDescent="0.35">
      <c r="D3360" s="3"/>
      <c r="E3360" s="3"/>
      <c r="F3360" s="3"/>
      <c r="G3360" s="3"/>
      <c r="H3360" s="3"/>
      <c r="I3360" s="3"/>
      <c r="J3360" s="3"/>
    </row>
    <row r="3361" spans="4:10" s="22" customFormat="1" x14ac:dyDescent="0.35">
      <c r="D3361" s="3"/>
      <c r="E3361" s="3"/>
      <c r="F3361" s="3"/>
      <c r="G3361" s="3"/>
      <c r="H3361" s="3"/>
      <c r="I3361" s="3"/>
      <c r="J3361" s="3"/>
    </row>
    <row r="3362" spans="4:10" s="22" customFormat="1" x14ac:dyDescent="0.35">
      <c r="D3362" s="3"/>
      <c r="E3362" s="3"/>
      <c r="F3362" s="3"/>
      <c r="G3362" s="3"/>
      <c r="H3362" s="3"/>
      <c r="I3362" s="3"/>
      <c r="J3362" s="3"/>
    </row>
    <row r="3363" spans="4:10" s="22" customFormat="1" x14ac:dyDescent="0.35">
      <c r="D3363" s="3"/>
      <c r="E3363" s="3"/>
      <c r="F3363" s="3"/>
      <c r="G3363" s="3"/>
      <c r="H3363" s="3"/>
      <c r="I3363" s="3"/>
      <c r="J3363" s="3"/>
    </row>
    <row r="3364" spans="4:10" s="22" customFormat="1" x14ac:dyDescent="0.35">
      <c r="D3364" s="3"/>
      <c r="E3364" s="3"/>
      <c r="F3364" s="3"/>
      <c r="G3364" s="3"/>
      <c r="H3364" s="3"/>
      <c r="I3364" s="3"/>
      <c r="J3364" s="3"/>
    </row>
    <row r="3365" spans="4:10" s="22" customFormat="1" x14ac:dyDescent="0.35">
      <c r="D3365" s="3"/>
      <c r="E3365" s="3"/>
      <c r="F3365" s="3"/>
      <c r="G3365" s="3"/>
      <c r="H3365" s="3"/>
      <c r="I3365" s="3"/>
      <c r="J3365" s="3"/>
    </row>
    <row r="3366" spans="4:10" s="22" customFormat="1" x14ac:dyDescent="0.35">
      <c r="D3366" s="3"/>
      <c r="E3366" s="3"/>
      <c r="F3366" s="3"/>
      <c r="G3366" s="3"/>
      <c r="H3366" s="3"/>
      <c r="I3366" s="3"/>
      <c r="J3366" s="3"/>
    </row>
    <row r="3367" spans="4:10" s="22" customFormat="1" x14ac:dyDescent="0.35">
      <c r="D3367" s="3"/>
      <c r="E3367" s="3"/>
      <c r="F3367" s="3"/>
      <c r="G3367" s="3"/>
      <c r="H3367" s="3"/>
      <c r="I3367" s="3"/>
      <c r="J3367" s="3"/>
    </row>
    <row r="3368" spans="4:10" s="22" customFormat="1" x14ac:dyDescent="0.35">
      <c r="D3368" s="3" t="s">
        <v>546</v>
      </c>
      <c r="E3368" s="3"/>
      <c r="F3368" s="3"/>
      <c r="G3368" s="3"/>
      <c r="H3368" s="3"/>
      <c r="I3368" s="3"/>
      <c r="J3368" s="3"/>
    </row>
    <row r="3369" spans="4:10" s="22" customFormat="1" x14ac:dyDescent="0.35">
      <c r="D3369" s="3"/>
      <c r="E3369" s="3"/>
      <c r="F3369" s="3"/>
      <c r="G3369" s="3"/>
      <c r="H3369" s="3"/>
      <c r="I3369" s="3"/>
      <c r="J3369" s="3"/>
    </row>
    <row r="3370" spans="4:10" s="22" customFormat="1" x14ac:dyDescent="0.35">
      <c r="D3370" s="3"/>
      <c r="E3370" s="3"/>
      <c r="F3370" s="3"/>
      <c r="G3370" s="3"/>
      <c r="H3370" s="3"/>
      <c r="I3370" s="3"/>
      <c r="J3370" s="3"/>
    </row>
    <row r="3371" spans="4:10" s="22" customFormat="1" x14ac:dyDescent="0.35">
      <c r="D3371" s="3"/>
      <c r="E3371" s="3"/>
      <c r="F3371" s="3"/>
      <c r="G3371" s="3"/>
      <c r="H3371" s="3"/>
      <c r="I3371" s="3"/>
      <c r="J3371" s="3"/>
    </row>
    <row r="3372" spans="4:10" s="22" customFormat="1" x14ac:dyDescent="0.35">
      <c r="D3372" s="3"/>
      <c r="E3372" s="3"/>
      <c r="F3372" s="3"/>
      <c r="G3372" s="3"/>
      <c r="H3372" s="3"/>
      <c r="I3372" s="3"/>
      <c r="J3372" s="3"/>
    </row>
    <row r="3373" spans="4:10" s="22" customFormat="1" x14ac:dyDescent="0.35">
      <c r="D3373" s="3"/>
      <c r="E3373" s="3"/>
      <c r="F3373" s="3"/>
      <c r="G3373" s="3"/>
      <c r="H3373" s="3"/>
      <c r="I3373" s="3"/>
      <c r="J3373" s="3"/>
    </row>
    <row r="3374" spans="4:10" s="22" customFormat="1" x14ac:dyDescent="0.35">
      <c r="D3374" s="3"/>
      <c r="E3374" s="3"/>
      <c r="F3374" s="3"/>
      <c r="G3374" s="3"/>
      <c r="H3374" s="3"/>
      <c r="I3374" s="3"/>
      <c r="J3374" s="3"/>
    </row>
    <row r="3375" spans="4:10" s="22" customFormat="1" x14ac:dyDescent="0.35">
      <c r="D3375" s="3"/>
      <c r="E3375" s="3"/>
      <c r="F3375" s="3"/>
      <c r="G3375" s="3"/>
      <c r="H3375" s="3"/>
      <c r="I3375" s="3"/>
      <c r="J3375" s="3"/>
    </row>
    <row r="3376" spans="4:10" s="22" customFormat="1" x14ac:dyDescent="0.35">
      <c r="D3376" s="3"/>
      <c r="E3376" s="3"/>
      <c r="F3376" s="3"/>
      <c r="G3376" s="3"/>
      <c r="H3376" s="3"/>
      <c r="I3376" s="3"/>
      <c r="J3376" s="3"/>
    </row>
    <row r="3377" spans="4:10" s="22" customFormat="1" x14ac:dyDescent="0.35">
      <c r="D3377" s="3"/>
      <c r="E3377" s="3"/>
      <c r="F3377" s="3"/>
      <c r="G3377" s="3"/>
      <c r="H3377" s="3"/>
      <c r="I3377" s="3"/>
      <c r="J3377" s="3"/>
    </row>
    <row r="3378" spans="4:10" s="22" customFormat="1" x14ac:dyDescent="0.35">
      <c r="D3378" s="3"/>
      <c r="E3378" s="3"/>
      <c r="F3378" s="3"/>
      <c r="G3378" s="3"/>
      <c r="H3378" s="3"/>
      <c r="I3378" s="3"/>
      <c r="J3378" s="3"/>
    </row>
    <row r="3379" spans="4:10" s="22" customFormat="1" x14ac:dyDescent="0.35">
      <c r="D3379" s="3"/>
      <c r="E3379" s="3"/>
      <c r="F3379" s="3"/>
      <c r="G3379" s="3"/>
      <c r="H3379" s="3"/>
      <c r="I3379" s="3"/>
      <c r="J3379" s="3"/>
    </row>
    <row r="3380" spans="4:10" s="22" customFormat="1" x14ac:dyDescent="0.35">
      <c r="D3380" s="3"/>
      <c r="E3380" s="3"/>
      <c r="F3380" s="3"/>
      <c r="G3380" s="3"/>
      <c r="H3380" s="3"/>
      <c r="I3380" s="3"/>
      <c r="J3380" s="3"/>
    </row>
    <row r="3381" spans="4:10" s="22" customFormat="1" x14ac:dyDescent="0.35">
      <c r="D3381" s="3"/>
      <c r="E3381" s="3"/>
      <c r="F3381" s="3"/>
      <c r="G3381" s="3"/>
      <c r="H3381" s="3"/>
      <c r="I3381" s="3"/>
      <c r="J3381" s="3"/>
    </row>
    <row r="3382" spans="4:10" s="22" customFormat="1" x14ac:dyDescent="0.35">
      <c r="D3382" s="3"/>
      <c r="E3382" s="3"/>
      <c r="F3382" s="3"/>
      <c r="G3382" s="3"/>
      <c r="H3382" s="3"/>
      <c r="I3382" s="3"/>
      <c r="J3382" s="3"/>
    </row>
    <row r="3383" spans="4:10" s="22" customFormat="1" x14ac:dyDescent="0.35">
      <c r="D3383" s="3"/>
      <c r="E3383" s="3"/>
      <c r="F3383" s="3"/>
      <c r="G3383" s="3"/>
      <c r="H3383" s="3"/>
      <c r="I3383" s="3"/>
      <c r="J3383" s="3"/>
    </row>
    <row r="3384" spans="4:10" s="22" customFormat="1" x14ac:dyDescent="0.35">
      <c r="D3384" s="3"/>
      <c r="E3384" s="3"/>
      <c r="F3384" s="3"/>
      <c r="G3384" s="3"/>
      <c r="H3384" s="3"/>
      <c r="I3384" s="3"/>
      <c r="J3384" s="3"/>
    </row>
    <row r="3385" spans="4:10" s="22" customFormat="1" x14ac:dyDescent="0.35">
      <c r="D3385" s="3"/>
      <c r="E3385" s="3"/>
      <c r="F3385" s="3"/>
      <c r="G3385" s="3"/>
      <c r="H3385" s="3"/>
      <c r="I3385" s="3"/>
      <c r="J3385" s="3"/>
    </row>
    <row r="3386" spans="4:10" s="22" customFormat="1" x14ac:dyDescent="0.35">
      <c r="D3386" s="3"/>
      <c r="E3386" s="3"/>
      <c r="F3386" s="3"/>
      <c r="G3386" s="3"/>
      <c r="H3386" s="3"/>
      <c r="I3386" s="3"/>
      <c r="J3386" s="3"/>
    </row>
    <row r="3387" spans="4:10" s="22" customFormat="1" x14ac:dyDescent="0.35">
      <c r="D3387" s="3"/>
      <c r="E3387" s="3"/>
      <c r="F3387" s="3"/>
      <c r="G3387" s="3"/>
      <c r="H3387" s="3"/>
      <c r="I3387" s="3"/>
      <c r="J3387" s="3"/>
    </row>
    <row r="3388" spans="4:10" s="22" customFormat="1" x14ac:dyDescent="0.35">
      <c r="D3388" s="3"/>
      <c r="E3388" s="3"/>
      <c r="F3388" s="3"/>
      <c r="G3388" s="3"/>
      <c r="H3388" s="3"/>
      <c r="I3388" s="3"/>
      <c r="J3388" s="3"/>
    </row>
    <row r="3389" spans="4:10" s="22" customFormat="1" x14ac:dyDescent="0.35">
      <c r="D3389" s="3"/>
      <c r="E3389" s="3"/>
      <c r="F3389" s="3"/>
      <c r="G3389" s="3"/>
      <c r="H3389" s="3"/>
      <c r="I3389" s="3"/>
      <c r="J3389" s="3"/>
    </row>
    <row r="3390" spans="4:10" s="22" customFormat="1" x14ac:dyDescent="0.35">
      <c r="D3390" s="3"/>
      <c r="E3390" s="3"/>
      <c r="F3390" s="3"/>
      <c r="G3390" s="3"/>
      <c r="H3390" s="3"/>
      <c r="I3390" s="3"/>
      <c r="J3390" s="3"/>
    </row>
    <row r="3391" spans="4:10" s="22" customFormat="1" x14ac:dyDescent="0.35">
      <c r="D3391" s="3"/>
      <c r="E3391" s="3"/>
      <c r="F3391" s="3"/>
      <c r="G3391" s="3"/>
      <c r="H3391" s="3"/>
      <c r="I3391" s="3"/>
      <c r="J3391" s="3"/>
    </row>
    <row r="3392" spans="4:10" s="22" customFormat="1" x14ac:dyDescent="0.35">
      <c r="D3392" s="3"/>
      <c r="E3392" s="3"/>
      <c r="F3392" s="3"/>
      <c r="G3392" s="3"/>
      <c r="H3392" s="3"/>
      <c r="I3392" s="3"/>
      <c r="J3392" s="3"/>
    </row>
    <row r="3393" spans="4:10" s="22" customFormat="1" x14ac:dyDescent="0.35">
      <c r="D3393" s="3"/>
      <c r="E3393" s="3"/>
      <c r="F3393" s="3"/>
      <c r="G3393" s="3"/>
      <c r="H3393" s="3"/>
      <c r="I3393" s="3"/>
      <c r="J3393" s="3"/>
    </row>
    <row r="3394" spans="4:10" s="22" customFormat="1" x14ac:dyDescent="0.35">
      <c r="D3394" s="3"/>
      <c r="E3394" s="3"/>
      <c r="F3394" s="3"/>
      <c r="G3394" s="3"/>
      <c r="H3394" s="3"/>
      <c r="I3394" s="3"/>
      <c r="J3394" s="3"/>
    </row>
    <row r="3395" spans="4:10" s="22" customFormat="1" x14ac:dyDescent="0.35">
      <c r="D3395" s="3"/>
      <c r="E3395" s="3"/>
      <c r="F3395" s="3"/>
      <c r="G3395" s="3"/>
      <c r="H3395" s="3"/>
      <c r="I3395" s="3"/>
      <c r="J3395" s="3"/>
    </row>
    <row r="3396" spans="4:10" s="22" customFormat="1" x14ac:dyDescent="0.35">
      <c r="D3396" s="3"/>
      <c r="E3396" s="3"/>
      <c r="F3396" s="3"/>
      <c r="G3396" s="3"/>
      <c r="H3396" s="3"/>
      <c r="I3396" s="3"/>
      <c r="J3396" s="3"/>
    </row>
    <row r="3397" spans="4:10" s="22" customFormat="1" x14ac:dyDescent="0.35">
      <c r="D3397" s="3"/>
      <c r="E3397" s="3"/>
      <c r="F3397" s="3"/>
      <c r="G3397" s="3"/>
      <c r="H3397" s="3"/>
      <c r="I3397" s="3"/>
      <c r="J3397" s="3"/>
    </row>
    <row r="3398" spans="4:10" s="22" customFormat="1" x14ac:dyDescent="0.35">
      <c r="D3398" s="3"/>
      <c r="E3398" s="3"/>
      <c r="F3398" s="3"/>
      <c r="G3398" s="3"/>
      <c r="H3398" s="3"/>
      <c r="I3398" s="3"/>
      <c r="J3398" s="3"/>
    </row>
    <row r="3399" spans="4:10" s="22" customFormat="1" x14ac:dyDescent="0.35">
      <c r="D3399" s="3"/>
      <c r="E3399" s="3"/>
      <c r="F3399" s="3"/>
      <c r="G3399" s="3"/>
      <c r="H3399" s="3"/>
      <c r="I3399" s="3"/>
      <c r="J3399" s="3"/>
    </row>
    <row r="3400" spans="4:10" s="22" customFormat="1" x14ac:dyDescent="0.35">
      <c r="D3400" s="3"/>
      <c r="E3400" s="3"/>
      <c r="F3400" s="3"/>
      <c r="G3400" s="3"/>
      <c r="H3400" s="3"/>
      <c r="I3400" s="3"/>
      <c r="J3400" s="3"/>
    </row>
    <row r="3401" spans="4:10" s="22" customFormat="1" x14ac:dyDescent="0.35">
      <c r="D3401" s="3"/>
      <c r="E3401" s="3"/>
      <c r="F3401" s="3"/>
      <c r="G3401" s="3"/>
      <c r="H3401" s="3"/>
      <c r="I3401" s="3"/>
      <c r="J3401" s="3"/>
    </row>
    <row r="3402" spans="4:10" s="22" customFormat="1" x14ac:dyDescent="0.35">
      <c r="D3402" s="3"/>
      <c r="E3402" s="3"/>
      <c r="F3402" s="3"/>
      <c r="G3402" s="3"/>
      <c r="H3402" s="3"/>
      <c r="I3402" s="3"/>
      <c r="J3402" s="3"/>
    </row>
    <row r="3403" spans="4:10" s="22" customFormat="1" x14ac:dyDescent="0.35">
      <c r="D3403" s="3"/>
      <c r="E3403" s="3"/>
      <c r="F3403" s="3"/>
      <c r="G3403" s="3"/>
      <c r="H3403" s="3"/>
      <c r="I3403" s="3"/>
      <c r="J3403" s="3"/>
    </row>
    <row r="3404" spans="4:10" s="22" customFormat="1" x14ac:dyDescent="0.35">
      <c r="D3404" s="3"/>
      <c r="E3404" s="3"/>
      <c r="F3404" s="3"/>
      <c r="G3404" s="3"/>
      <c r="H3404" s="3"/>
      <c r="I3404" s="3"/>
      <c r="J3404" s="3"/>
    </row>
    <row r="3405" spans="4:10" s="22" customFormat="1" x14ac:dyDescent="0.35">
      <c r="D3405" s="3"/>
      <c r="E3405" s="3"/>
      <c r="F3405" s="3"/>
      <c r="G3405" s="3"/>
      <c r="H3405" s="3"/>
      <c r="I3405" s="3"/>
      <c r="J3405" s="3"/>
    </row>
    <row r="3406" spans="4:10" s="22" customFormat="1" x14ac:dyDescent="0.35">
      <c r="D3406" s="3"/>
      <c r="E3406" s="3"/>
      <c r="F3406" s="3"/>
      <c r="G3406" s="3"/>
      <c r="H3406" s="3"/>
      <c r="I3406" s="3"/>
      <c r="J3406" s="3"/>
    </row>
    <row r="3407" spans="4:10" s="22" customFormat="1" x14ac:dyDescent="0.35">
      <c r="D3407" s="3"/>
      <c r="E3407" s="3"/>
      <c r="F3407" s="3"/>
      <c r="G3407" s="3"/>
      <c r="H3407" s="3"/>
      <c r="I3407" s="3"/>
      <c r="J3407" s="3"/>
    </row>
    <row r="3408" spans="4:10" s="22" customFormat="1" x14ac:dyDescent="0.35">
      <c r="D3408" s="3"/>
      <c r="E3408" s="3"/>
      <c r="F3408" s="3"/>
      <c r="G3408" s="3"/>
      <c r="H3408" s="3"/>
      <c r="I3408" s="3"/>
      <c r="J3408" s="3"/>
    </row>
    <row r="3409" spans="4:10" s="22" customFormat="1" x14ac:dyDescent="0.35">
      <c r="D3409" s="3"/>
      <c r="E3409" s="3"/>
      <c r="F3409" s="3"/>
      <c r="G3409" s="3"/>
      <c r="H3409" s="3"/>
      <c r="I3409" s="3"/>
      <c r="J3409" s="3"/>
    </row>
    <row r="3410" spans="4:10" s="22" customFormat="1" x14ac:dyDescent="0.35">
      <c r="D3410" s="3"/>
      <c r="E3410" s="3"/>
      <c r="F3410" s="3"/>
      <c r="G3410" s="3"/>
      <c r="H3410" s="3"/>
      <c r="I3410" s="3"/>
      <c r="J3410" s="3"/>
    </row>
    <row r="3411" spans="4:10" s="22" customFormat="1" x14ac:dyDescent="0.35">
      <c r="D3411" s="3"/>
      <c r="E3411" s="3"/>
      <c r="F3411" s="3"/>
      <c r="G3411" s="3"/>
      <c r="H3411" s="3"/>
      <c r="I3411" s="3"/>
      <c r="J3411" s="3"/>
    </row>
    <row r="3412" spans="4:10" s="22" customFormat="1" x14ac:dyDescent="0.35">
      <c r="D3412" s="3"/>
      <c r="E3412" s="3"/>
      <c r="F3412" s="3"/>
      <c r="G3412" s="3"/>
      <c r="H3412" s="3"/>
      <c r="I3412" s="3"/>
      <c r="J3412" s="3"/>
    </row>
    <row r="3413" spans="4:10" s="22" customFormat="1" x14ac:dyDescent="0.35">
      <c r="D3413" s="3"/>
      <c r="E3413" s="3"/>
      <c r="F3413" s="3"/>
      <c r="G3413" s="3"/>
      <c r="H3413" s="3"/>
      <c r="I3413" s="3"/>
      <c r="J3413" s="3"/>
    </row>
    <row r="3414" spans="4:10" s="22" customFormat="1" x14ac:dyDescent="0.35">
      <c r="D3414" s="3"/>
      <c r="E3414" s="3"/>
      <c r="F3414" s="3"/>
      <c r="G3414" s="3"/>
      <c r="H3414" s="3"/>
      <c r="I3414" s="3"/>
      <c r="J3414" s="3"/>
    </row>
    <row r="3415" spans="4:10" s="22" customFormat="1" x14ac:dyDescent="0.35">
      <c r="D3415" s="3"/>
      <c r="E3415" s="3"/>
      <c r="F3415" s="3"/>
      <c r="G3415" s="3"/>
      <c r="H3415" s="3"/>
      <c r="I3415" s="3"/>
      <c r="J3415" s="3"/>
    </row>
    <row r="3416" spans="4:10" s="22" customFormat="1" x14ac:dyDescent="0.35">
      <c r="D3416" s="3"/>
      <c r="E3416" s="3"/>
      <c r="F3416" s="3"/>
      <c r="G3416" s="3"/>
      <c r="H3416" s="3"/>
      <c r="I3416" s="3"/>
      <c r="J3416" s="3"/>
    </row>
    <row r="3417" spans="4:10" s="22" customFormat="1" x14ac:dyDescent="0.35">
      <c r="D3417" s="3"/>
      <c r="E3417" s="3"/>
      <c r="F3417" s="3"/>
      <c r="G3417" s="3"/>
      <c r="H3417" s="3"/>
      <c r="I3417" s="3"/>
      <c r="J3417" s="3"/>
    </row>
    <row r="3418" spans="4:10" s="22" customFormat="1" x14ac:dyDescent="0.35">
      <c r="D3418" s="3"/>
      <c r="E3418" s="3"/>
      <c r="F3418" s="3"/>
      <c r="G3418" s="3"/>
      <c r="H3418" s="3"/>
      <c r="I3418" s="3"/>
      <c r="J3418" s="3"/>
    </row>
    <row r="3419" spans="4:10" s="22" customFormat="1" x14ac:dyDescent="0.35">
      <c r="D3419" s="3"/>
      <c r="E3419" s="3"/>
      <c r="F3419" s="3"/>
      <c r="G3419" s="3"/>
      <c r="H3419" s="3"/>
      <c r="I3419" s="3"/>
      <c r="J3419" s="3"/>
    </row>
    <row r="3420" spans="4:10" s="22" customFormat="1" x14ac:dyDescent="0.35">
      <c r="D3420" s="3"/>
      <c r="E3420" s="3"/>
      <c r="F3420" s="3"/>
      <c r="G3420" s="3"/>
      <c r="H3420" s="3"/>
      <c r="I3420" s="3"/>
      <c r="J3420" s="3"/>
    </row>
    <row r="3421" spans="4:10" s="22" customFormat="1" x14ac:dyDescent="0.35">
      <c r="D3421" s="3"/>
      <c r="E3421" s="3"/>
      <c r="F3421" s="3"/>
      <c r="G3421" s="3"/>
      <c r="H3421" s="3"/>
      <c r="I3421" s="3"/>
      <c r="J3421" s="3"/>
    </row>
    <row r="3422" spans="4:10" s="22" customFormat="1" x14ac:dyDescent="0.35">
      <c r="D3422" s="3"/>
      <c r="E3422" s="3"/>
      <c r="F3422" s="3"/>
      <c r="G3422" s="3"/>
      <c r="H3422" s="3"/>
      <c r="I3422" s="3"/>
      <c r="J3422" s="3"/>
    </row>
    <row r="3423" spans="4:10" s="22" customFormat="1" x14ac:dyDescent="0.35">
      <c r="D3423" s="3"/>
      <c r="E3423" s="3"/>
      <c r="F3423" s="3"/>
      <c r="G3423" s="3"/>
      <c r="H3423" s="3"/>
      <c r="I3423" s="3"/>
      <c r="J3423" s="3"/>
    </row>
    <row r="3424" spans="4:10" s="22" customFormat="1" x14ac:dyDescent="0.35">
      <c r="D3424" s="3"/>
      <c r="E3424" s="3"/>
      <c r="F3424" s="3"/>
      <c r="G3424" s="3"/>
      <c r="H3424" s="3"/>
      <c r="I3424" s="3"/>
      <c r="J3424" s="3"/>
    </row>
    <row r="3425" spans="4:10" s="22" customFormat="1" x14ac:dyDescent="0.35">
      <c r="D3425" s="3"/>
      <c r="E3425" s="3"/>
      <c r="F3425" s="3"/>
      <c r="G3425" s="3"/>
      <c r="H3425" s="3"/>
      <c r="I3425" s="3"/>
      <c r="J3425" s="3"/>
    </row>
    <row r="3426" spans="4:10" s="22" customFormat="1" x14ac:dyDescent="0.35">
      <c r="D3426" s="3"/>
      <c r="E3426" s="3"/>
      <c r="F3426" s="3"/>
      <c r="G3426" s="3"/>
      <c r="H3426" s="3"/>
      <c r="I3426" s="3"/>
      <c r="J3426" s="3"/>
    </row>
    <row r="3427" spans="4:10" s="22" customFormat="1" x14ac:dyDescent="0.35">
      <c r="D3427" s="3"/>
      <c r="E3427" s="3"/>
      <c r="F3427" s="3"/>
      <c r="G3427" s="3"/>
      <c r="H3427" s="3"/>
      <c r="I3427" s="3"/>
      <c r="J3427" s="3"/>
    </row>
    <row r="3428" spans="4:10" s="22" customFormat="1" x14ac:dyDescent="0.35">
      <c r="D3428" s="3"/>
      <c r="E3428" s="3"/>
      <c r="F3428" s="3"/>
      <c r="G3428" s="3"/>
      <c r="H3428" s="3"/>
      <c r="I3428" s="3"/>
      <c r="J3428" s="3"/>
    </row>
    <row r="3429" spans="4:10" s="22" customFormat="1" x14ac:dyDescent="0.35">
      <c r="D3429" s="3"/>
      <c r="E3429" s="3"/>
      <c r="F3429" s="3"/>
      <c r="G3429" s="3"/>
      <c r="H3429" s="3"/>
      <c r="I3429" s="3"/>
      <c r="J3429" s="3"/>
    </row>
    <row r="3430" spans="4:10" s="22" customFormat="1" x14ac:dyDescent="0.35">
      <c r="D3430" s="3"/>
      <c r="E3430" s="3"/>
      <c r="F3430" s="3"/>
      <c r="G3430" s="3"/>
      <c r="H3430" s="3"/>
      <c r="I3430" s="3"/>
      <c r="J3430" s="3"/>
    </row>
    <row r="3431" spans="4:10" s="22" customFormat="1" x14ac:dyDescent="0.35">
      <c r="D3431" s="3"/>
      <c r="E3431" s="3"/>
      <c r="F3431" s="3"/>
      <c r="G3431" s="3"/>
      <c r="H3431" s="3"/>
      <c r="I3431" s="3"/>
      <c r="J3431" s="3"/>
    </row>
    <row r="3432" spans="4:10" s="22" customFormat="1" x14ac:dyDescent="0.35">
      <c r="D3432" s="3"/>
      <c r="E3432" s="3"/>
      <c r="F3432" s="3"/>
      <c r="G3432" s="3"/>
      <c r="H3432" s="3"/>
      <c r="I3432" s="3"/>
      <c r="J3432" s="3"/>
    </row>
    <row r="3433" spans="4:10" s="22" customFormat="1" x14ac:dyDescent="0.35">
      <c r="D3433" s="3"/>
      <c r="E3433" s="3"/>
      <c r="F3433" s="3"/>
      <c r="G3433" s="3"/>
      <c r="H3433" s="3"/>
      <c r="I3433" s="3"/>
      <c r="J3433" s="3"/>
    </row>
    <row r="3434" spans="4:10" s="22" customFormat="1" x14ac:dyDescent="0.35">
      <c r="D3434" s="3"/>
      <c r="E3434" s="3"/>
      <c r="F3434" s="3"/>
      <c r="G3434" s="3"/>
      <c r="H3434" s="3"/>
      <c r="I3434" s="3"/>
      <c r="J3434" s="3"/>
    </row>
    <row r="3435" spans="4:10" s="22" customFormat="1" x14ac:dyDescent="0.35">
      <c r="D3435" s="3"/>
      <c r="E3435" s="3"/>
      <c r="F3435" s="3"/>
      <c r="G3435" s="3"/>
      <c r="H3435" s="3"/>
      <c r="I3435" s="3"/>
      <c r="J3435" s="3"/>
    </row>
    <row r="3436" spans="4:10" s="22" customFormat="1" x14ac:dyDescent="0.35">
      <c r="D3436" s="3"/>
      <c r="E3436" s="3"/>
      <c r="F3436" s="3"/>
      <c r="G3436" s="3"/>
      <c r="H3436" s="3"/>
      <c r="I3436" s="3"/>
      <c r="J3436" s="3"/>
    </row>
    <row r="3437" spans="4:10" s="22" customFormat="1" x14ac:dyDescent="0.35">
      <c r="D3437" s="3" t="s">
        <v>547</v>
      </c>
      <c r="E3437" s="3"/>
      <c r="F3437" s="3"/>
      <c r="G3437" s="3"/>
      <c r="H3437" s="3"/>
      <c r="I3437" s="3"/>
      <c r="J3437" s="3"/>
    </row>
    <row r="3438" spans="4:10" s="22" customFormat="1" x14ac:dyDescent="0.35">
      <c r="D3438" s="3" t="s">
        <v>548</v>
      </c>
      <c r="E3438" s="3"/>
      <c r="F3438" s="3"/>
      <c r="G3438" s="3"/>
      <c r="H3438" s="3"/>
      <c r="I3438" s="3"/>
      <c r="J3438" s="3"/>
    </row>
    <row r="3439" spans="4:10" s="22" customFormat="1" x14ac:dyDescent="0.35">
      <c r="D3439" s="3"/>
      <c r="E3439" s="3"/>
      <c r="F3439" s="3"/>
      <c r="G3439" s="3"/>
      <c r="H3439" s="3"/>
      <c r="I3439" s="3"/>
      <c r="J3439" s="3"/>
    </row>
    <row r="3440" spans="4:10" s="22" customFormat="1" x14ac:dyDescent="0.35">
      <c r="D3440" s="3" t="s">
        <v>629</v>
      </c>
      <c r="E3440" s="3"/>
      <c r="F3440" s="3"/>
      <c r="G3440" s="3"/>
      <c r="H3440" s="3"/>
      <c r="I3440" s="3"/>
      <c r="J3440" s="3"/>
    </row>
    <row r="3441" spans="4:10" s="22" customFormat="1" x14ac:dyDescent="0.35">
      <c r="D3441" s="3"/>
      <c r="E3441" s="3"/>
      <c r="F3441" s="3"/>
      <c r="G3441" s="3"/>
      <c r="H3441" s="3"/>
      <c r="I3441" s="3"/>
      <c r="J3441" s="3"/>
    </row>
    <row r="3442" spans="4:10" s="22" customFormat="1" x14ac:dyDescent="0.35">
      <c r="D3442" s="3" t="s">
        <v>630</v>
      </c>
      <c r="E3442" s="3"/>
      <c r="F3442" s="3"/>
      <c r="G3442" s="3"/>
      <c r="H3442" s="3"/>
      <c r="I3442" s="3"/>
      <c r="J3442" s="3"/>
    </row>
    <row r="3443" spans="4:10" s="22" customFormat="1" x14ac:dyDescent="0.35">
      <c r="D3443" s="82"/>
      <c r="E3443" s="3"/>
      <c r="F3443" s="3"/>
      <c r="G3443" s="3"/>
      <c r="H3443" s="3"/>
      <c r="I3443" s="3"/>
      <c r="J3443" s="3"/>
    </row>
    <row r="3444" spans="4:10" s="22" customFormat="1" x14ac:dyDescent="0.35">
      <c r="D3444" s="82" t="s">
        <v>549</v>
      </c>
      <c r="E3444" s="3"/>
      <c r="F3444" s="3"/>
      <c r="G3444" s="3"/>
      <c r="H3444" s="3"/>
      <c r="I3444" s="3"/>
      <c r="J3444" s="3"/>
    </row>
    <row r="3445" spans="4:10" s="22" customFormat="1" x14ac:dyDescent="0.35">
      <c r="D3445" s="82" t="s">
        <v>550</v>
      </c>
      <c r="E3445" s="3"/>
      <c r="F3445" s="3"/>
      <c r="G3445" s="3"/>
      <c r="H3445" s="3"/>
      <c r="I3445" s="3"/>
      <c r="J3445" s="3"/>
    </row>
    <row r="3446" spans="4:10" s="22" customFormat="1" x14ac:dyDescent="0.35">
      <c r="D3446" s="82" t="s">
        <v>551</v>
      </c>
      <c r="E3446" s="3"/>
      <c r="F3446" s="3"/>
      <c r="G3446" s="3"/>
      <c r="H3446" s="3"/>
      <c r="I3446" s="3"/>
      <c r="J3446" s="3"/>
    </row>
    <row r="3447" spans="4:10" s="22" customFormat="1" x14ac:dyDescent="0.35">
      <c r="D3447" s="82" t="s">
        <v>552</v>
      </c>
      <c r="E3447" s="3"/>
      <c r="F3447" s="3"/>
      <c r="G3447" s="3"/>
      <c r="H3447" s="3"/>
      <c r="I3447" s="3"/>
      <c r="J3447" s="3"/>
    </row>
    <row r="3448" spans="4:10" s="22" customFormat="1" x14ac:dyDescent="0.35">
      <c r="D3448" s="82" t="s">
        <v>553</v>
      </c>
      <c r="E3448" s="3"/>
      <c r="F3448" s="3"/>
      <c r="G3448" s="3"/>
      <c r="H3448" s="3"/>
      <c r="I3448" s="3"/>
      <c r="J3448" s="3"/>
    </row>
    <row r="3449" spans="4:10" s="22" customFormat="1" x14ac:dyDescent="0.35">
      <c r="D3449" s="3"/>
      <c r="E3449" s="3"/>
      <c r="F3449" s="3"/>
      <c r="G3449" s="3"/>
      <c r="H3449" s="3"/>
      <c r="I3449" s="3"/>
      <c r="J3449" s="3"/>
    </row>
    <row r="3450" spans="4:10" s="22" customFormat="1" x14ac:dyDescent="0.35">
      <c r="D3450" s="3" t="s">
        <v>631</v>
      </c>
      <c r="E3450" s="3"/>
      <c r="F3450" s="3"/>
      <c r="G3450" s="3"/>
      <c r="H3450" s="3"/>
      <c r="I3450" s="3"/>
      <c r="J3450" s="3"/>
    </row>
    <row r="3451" spans="4:10" s="22" customFormat="1" x14ac:dyDescent="0.35">
      <c r="D3451" s="3"/>
      <c r="E3451" s="3"/>
      <c r="F3451" s="3"/>
      <c r="G3451" s="3"/>
      <c r="H3451" s="3"/>
      <c r="I3451" s="3"/>
      <c r="J3451" s="3"/>
    </row>
    <row r="3452" spans="4:10" s="22" customFormat="1" x14ac:dyDescent="0.35">
      <c r="D3452" s="3" t="s">
        <v>632</v>
      </c>
      <c r="E3452" s="3"/>
      <c r="F3452" s="3"/>
      <c r="G3452" s="3"/>
      <c r="H3452" s="3"/>
      <c r="I3452" s="3"/>
      <c r="J3452" s="3"/>
    </row>
    <row r="3453" spans="4:10" s="22" customFormat="1" x14ac:dyDescent="0.35">
      <c r="D3453" s="3"/>
      <c r="E3453" s="3"/>
      <c r="F3453" s="3"/>
      <c r="G3453" s="3"/>
      <c r="H3453" s="3"/>
      <c r="I3453" s="3"/>
      <c r="J3453" s="3"/>
    </row>
    <row r="3454" spans="4:10" s="22" customFormat="1" x14ac:dyDescent="0.35">
      <c r="D3454" s="3" t="s">
        <v>633</v>
      </c>
      <c r="E3454" s="3"/>
      <c r="F3454" s="3"/>
      <c r="G3454" s="3"/>
      <c r="H3454" s="3"/>
      <c r="I3454" s="3"/>
      <c r="J3454" s="3"/>
    </row>
    <row r="3455" spans="4:10" s="22" customFormat="1" x14ac:dyDescent="0.35">
      <c r="D3455" s="82"/>
      <c r="E3455" s="3"/>
      <c r="F3455" s="3"/>
      <c r="G3455" s="3"/>
      <c r="H3455" s="3"/>
      <c r="I3455" s="3"/>
      <c r="J3455" s="3"/>
    </row>
    <row r="3456" spans="4:10" s="22" customFormat="1" x14ac:dyDescent="0.35">
      <c r="D3456" s="82" t="s">
        <v>554</v>
      </c>
      <c r="E3456" s="3"/>
      <c r="F3456" s="3"/>
      <c r="G3456" s="3"/>
      <c r="H3456" s="3"/>
      <c r="I3456" s="3"/>
      <c r="J3456" s="3"/>
    </row>
    <row r="3457" spans="4:10" s="22" customFormat="1" x14ac:dyDescent="0.35">
      <c r="D3457" s="82" t="s">
        <v>555</v>
      </c>
      <c r="E3457" s="3"/>
      <c r="F3457" s="3"/>
      <c r="G3457" s="3"/>
      <c r="H3457" s="3"/>
      <c r="I3457" s="3"/>
      <c r="J3457" s="3"/>
    </row>
    <row r="3458" spans="4:10" s="22" customFormat="1" x14ac:dyDescent="0.35">
      <c r="D3458" s="82" t="s">
        <v>556</v>
      </c>
      <c r="E3458" s="3"/>
      <c r="F3458" s="3"/>
      <c r="G3458" s="3"/>
      <c r="H3458" s="3"/>
      <c r="I3458" s="3"/>
      <c r="J3458" s="3"/>
    </row>
    <row r="3459" spans="4:10" s="22" customFormat="1" x14ac:dyDescent="0.35">
      <c r="D3459" s="82" t="s">
        <v>557</v>
      </c>
      <c r="E3459" s="3"/>
      <c r="F3459" s="3"/>
      <c r="G3459" s="3"/>
      <c r="H3459" s="3"/>
      <c r="I3459" s="3"/>
      <c r="J3459" s="3"/>
    </row>
    <row r="3460" spans="4:10" s="22" customFormat="1" x14ac:dyDescent="0.35">
      <c r="D3460" s="82" t="s">
        <v>558</v>
      </c>
      <c r="E3460" s="3"/>
      <c r="F3460" s="3"/>
      <c r="G3460" s="3"/>
      <c r="H3460" s="3"/>
      <c r="I3460" s="3"/>
      <c r="J3460" s="3"/>
    </row>
    <row r="3461" spans="4:10" s="22" customFormat="1" x14ac:dyDescent="0.35">
      <c r="D3461" s="3"/>
      <c r="E3461" s="3"/>
      <c r="F3461" s="3"/>
      <c r="G3461" s="3"/>
      <c r="H3461" s="3"/>
      <c r="I3461" s="3"/>
      <c r="J3461" s="3"/>
    </row>
    <row r="3462" spans="4:10" s="22" customFormat="1" x14ac:dyDescent="0.35">
      <c r="D3462" s="3" t="s">
        <v>634</v>
      </c>
      <c r="E3462" s="3"/>
      <c r="F3462" s="3"/>
      <c r="G3462" s="3"/>
      <c r="H3462" s="3"/>
      <c r="I3462" s="3"/>
      <c r="J3462" s="3"/>
    </row>
    <row r="3463" spans="4:10" s="22" customFormat="1" x14ac:dyDescent="0.35">
      <c r="D3463" s="3"/>
      <c r="E3463" s="3"/>
      <c r="F3463" s="3"/>
      <c r="G3463" s="3"/>
      <c r="H3463" s="3"/>
      <c r="I3463" s="3"/>
      <c r="J3463" s="3"/>
    </row>
    <row r="3464" spans="4:10" s="22" customFormat="1" x14ac:dyDescent="0.35">
      <c r="D3464" s="3" t="s">
        <v>559</v>
      </c>
      <c r="E3464" s="3"/>
      <c r="F3464" s="3"/>
      <c r="G3464" s="3"/>
      <c r="H3464" s="3"/>
      <c r="I3464" s="3"/>
      <c r="J3464" s="3"/>
    </row>
    <row r="3465" spans="4:10" s="22" customFormat="1" x14ac:dyDescent="0.35">
      <c r="D3465" s="3"/>
      <c r="E3465" s="3"/>
      <c r="F3465" s="3"/>
      <c r="G3465" s="3"/>
      <c r="H3465" s="3"/>
      <c r="I3465" s="3"/>
      <c r="J3465" s="3"/>
    </row>
    <row r="3466" spans="4:10" s="22" customFormat="1" ht="17" x14ac:dyDescent="0.35">
      <c r="D3466" s="92" t="s">
        <v>66</v>
      </c>
      <c r="E3466" s="3"/>
      <c r="F3466" s="3"/>
      <c r="G3466" s="3"/>
      <c r="H3466" s="3"/>
      <c r="I3466" s="3"/>
      <c r="J3466" s="3"/>
    </row>
    <row r="3467" spans="4:10" s="22" customFormat="1" x14ac:dyDescent="0.35">
      <c r="D3467" s="3"/>
      <c r="E3467" s="3"/>
      <c r="F3467" s="3"/>
      <c r="G3467" s="3"/>
      <c r="H3467" s="3"/>
      <c r="I3467" s="3"/>
      <c r="J3467" s="3"/>
    </row>
    <row r="3468" spans="4:10" s="22" customFormat="1" x14ac:dyDescent="0.35">
      <c r="D3468" s="87" t="s">
        <v>0</v>
      </c>
      <c r="E3468" s="87" t="s">
        <v>4</v>
      </c>
      <c r="F3468" s="87" t="s">
        <v>3</v>
      </c>
      <c r="G3468" s="87" t="s">
        <v>2</v>
      </c>
      <c r="H3468" s="87" t="s">
        <v>1</v>
      </c>
      <c r="I3468" s="3"/>
      <c r="J3468" s="3"/>
    </row>
    <row r="3469" spans="4:10" s="22" customFormat="1" ht="28" x14ac:dyDescent="0.35">
      <c r="D3469" s="88" t="s">
        <v>67</v>
      </c>
      <c r="E3469" s="88"/>
      <c r="F3469" s="3"/>
      <c r="G3469" s="3"/>
      <c r="H3469" s="3"/>
      <c r="I3469" s="3"/>
      <c r="J3469" s="3"/>
    </row>
  </sheetData>
  <mergeCells count="16">
    <mergeCell ref="A1:G3"/>
    <mergeCell ref="A37:G37"/>
    <mergeCell ref="A38:G39"/>
    <mergeCell ref="A65:G66"/>
    <mergeCell ref="A79:G80"/>
    <mergeCell ref="A40:G40"/>
    <mergeCell ref="A64:G64"/>
    <mergeCell ref="A67:G67"/>
    <mergeCell ref="A78:G78"/>
    <mergeCell ref="A81:G81"/>
    <mergeCell ref="A87:G87"/>
    <mergeCell ref="A90:G90"/>
    <mergeCell ref="A24:C24"/>
    <mergeCell ref="A4:G4"/>
    <mergeCell ref="A7:G7"/>
    <mergeCell ref="A88:G8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4960-EFE4-4023-A509-36D4D46C4B4A}">
  <dimension ref="A1:J75"/>
  <sheetViews>
    <sheetView zoomScale="73" zoomScaleNormal="145" workbookViewId="0">
      <selection activeCell="I12" sqref="I12"/>
    </sheetView>
  </sheetViews>
  <sheetFormatPr defaultRowHeight="14" x14ac:dyDescent="0.3"/>
  <cols>
    <col min="1" max="1" width="47.26953125" style="3" customWidth="1"/>
    <col min="2" max="2" width="28.1796875" style="70" customWidth="1"/>
    <col min="3" max="8" width="17.1796875" style="3" customWidth="1"/>
    <col min="9" max="9" width="17.81640625" style="3" customWidth="1"/>
    <col min="10" max="10" width="26.08984375" style="3" customWidth="1"/>
    <col min="11" max="16384" width="8.7265625" style="3"/>
  </cols>
  <sheetData>
    <row r="1" spans="1:10" ht="14.5" customHeight="1" x14ac:dyDescent="0.3">
      <c r="A1" s="226" t="s">
        <v>568</v>
      </c>
      <c r="B1" s="227"/>
      <c r="C1" s="227"/>
      <c r="D1" s="227"/>
      <c r="E1" s="227"/>
      <c r="F1" s="227"/>
      <c r="G1" s="227"/>
      <c r="H1" s="227"/>
      <c r="I1" s="227"/>
      <c r="J1" s="228"/>
    </row>
    <row r="2" spans="1:10" ht="38" customHeight="1" x14ac:dyDescent="0.3">
      <c r="A2" s="229"/>
      <c r="B2" s="230"/>
      <c r="C2" s="230"/>
      <c r="D2" s="230"/>
      <c r="E2" s="230"/>
      <c r="F2" s="230"/>
      <c r="G2" s="230"/>
      <c r="H2" s="230"/>
      <c r="I2" s="230"/>
      <c r="J2" s="231"/>
    </row>
    <row r="3" spans="1:10" s="158" customFormat="1" ht="25" customHeight="1" thickBot="1" x14ac:dyDescent="0.4">
      <c r="A3" s="71" t="s">
        <v>192</v>
      </c>
      <c r="B3" s="72" t="s">
        <v>193</v>
      </c>
      <c r="C3" s="72" t="s">
        <v>10</v>
      </c>
      <c r="D3" s="72" t="s">
        <v>5</v>
      </c>
      <c r="E3" s="72" t="s">
        <v>4</v>
      </c>
      <c r="F3" s="72" t="s">
        <v>3</v>
      </c>
      <c r="G3" s="72" t="s">
        <v>2</v>
      </c>
      <c r="H3" s="72" t="s">
        <v>1</v>
      </c>
      <c r="I3" s="72" t="s">
        <v>194</v>
      </c>
      <c r="J3" s="72" t="s">
        <v>195</v>
      </c>
    </row>
    <row r="4" spans="1:10" s="159" customFormat="1" ht="20" x14ac:dyDescent="0.35">
      <c r="A4" s="232" t="s">
        <v>142</v>
      </c>
      <c r="B4" s="233"/>
      <c r="C4" s="233"/>
      <c r="D4" s="233"/>
      <c r="E4" s="233"/>
      <c r="F4" s="233"/>
      <c r="G4" s="233"/>
      <c r="H4" s="233"/>
      <c r="I4" s="233"/>
      <c r="J4" s="234"/>
    </row>
    <row r="5" spans="1:10" ht="21.5" x14ac:dyDescent="0.3">
      <c r="A5" s="47" t="s">
        <v>143</v>
      </c>
      <c r="B5" s="48" t="s">
        <v>182</v>
      </c>
      <c r="C5" s="49">
        <f>(Historical_IS!B2-Historical_IS!C2)/Historical_IS!C2</f>
        <v>4.5812379564788272E-2</v>
      </c>
      <c r="D5" s="49">
        <f>(Historical_IS!C2-Historical_IS!D2)/Historical_IS!D2</f>
        <v>5.9906265437351856E-2</v>
      </c>
      <c r="E5" s="49">
        <f>(Historical_IS!D2-Historical_IS!E2)/Historical_IS!E2</f>
        <v>6.8460644554639891E-2</v>
      </c>
      <c r="F5" s="49">
        <f>(Historical_IS!E2-Historical_IS!F2)/Historical_IS!F2</f>
        <v>0.17576686796624844</v>
      </c>
      <c r="G5" s="49">
        <f>(Historical_IS!F2-Historical_IS!G2)/Historical_IS!G2</f>
        <v>0.16797115308478044</v>
      </c>
      <c r="H5" s="49"/>
      <c r="I5" s="50">
        <v>0.08</v>
      </c>
      <c r="J5" s="51" t="str">
        <f>IF(C5&gt;I5,"Above Benchmark", IF(C5&lt;I5,"Below Benchmark","At Benchmark"))</f>
        <v>Below Benchmark</v>
      </c>
    </row>
    <row r="6" spans="1:10" x14ac:dyDescent="0.3">
      <c r="A6" s="47" t="s">
        <v>144</v>
      </c>
      <c r="B6" s="52" t="s">
        <v>183</v>
      </c>
      <c r="C6" s="49">
        <f>Historical_IS!B6/Historical_IS!B2</f>
        <v>0.25030990071941905</v>
      </c>
      <c r="D6" s="49">
        <f>Historical_IS!C6/Historical_IS!C2</f>
        <v>0.24347495730914445</v>
      </c>
      <c r="E6" s="49">
        <f>Historical_IS!D6/Historical_IS!D2</f>
        <v>0.24621304894704288</v>
      </c>
      <c r="F6" s="49">
        <f>Historical_IS!E6/Historical_IS!E2</f>
        <v>0.24056365265370933</v>
      </c>
      <c r="G6" s="49">
        <f>Historical_IS!F6/Historical_IS!F2</f>
        <v>0.25268312525423198</v>
      </c>
      <c r="H6" s="49">
        <f>Historical_IS!G6/Historical_IS!G2</f>
        <v>0.25875122581116722</v>
      </c>
      <c r="I6" s="50">
        <v>0.22</v>
      </c>
      <c r="J6" s="51" t="str">
        <f t="shared" ref="J6:J7" si="0">IF(C6&gt;I6,"Above Benchmark", IF(C6&lt;I6,"Below Benchmark","At Benchmark"))</f>
        <v>Above Benchmark</v>
      </c>
    </row>
    <row r="7" spans="1:10" x14ac:dyDescent="0.3">
      <c r="A7" s="47" t="s">
        <v>145</v>
      </c>
      <c r="B7" s="52" t="s">
        <v>184</v>
      </c>
      <c r="C7" s="49">
        <f>Historical_IS!B8/Historical_IS!B2</f>
        <v>0.19781215709625835</v>
      </c>
      <c r="D7" s="49">
        <f>Historical_IS!C8/Historical_IS!C2</f>
        <v>0.1901623035828986</v>
      </c>
      <c r="E7" s="49">
        <f>Historical_IS!D8/Historical_IS!D2</f>
        <v>0.19338461474596605</v>
      </c>
      <c r="F7" s="49">
        <f>Historical_IS!E8/Historical_IS!E2</f>
        <v>0.18693947431450647</v>
      </c>
      <c r="G7" s="49">
        <f>Historical_IS!F8/Historical_IS!F2</f>
        <v>0.19987588264130082</v>
      </c>
      <c r="H7" s="49">
        <f>Historical_IS!G8/Historical_IS!G2</f>
        <v>0.20336587950809187</v>
      </c>
      <c r="I7" s="50">
        <v>0.18</v>
      </c>
      <c r="J7" s="51" t="str">
        <f t="shared" si="0"/>
        <v>Above Benchmark</v>
      </c>
    </row>
    <row r="8" spans="1:10" x14ac:dyDescent="0.3">
      <c r="A8" s="47" t="s">
        <v>146</v>
      </c>
      <c r="B8" s="52" t="s">
        <v>185</v>
      </c>
      <c r="C8" s="49">
        <f>Historical_IS!B5/Historical_IS!B2</f>
        <v>0.74969009928058095</v>
      </c>
      <c r="D8" s="49">
        <f>Historical_IS!C5/Historical_IS!C2</f>
        <v>0.75652504269085552</v>
      </c>
      <c r="E8" s="49">
        <f>Historical_IS!D5/Historical_IS!D2</f>
        <v>0.75378695105295712</v>
      </c>
      <c r="F8" s="49">
        <f>Historical_IS!E5/Historical_IS!E2</f>
        <v>0.75943634734629062</v>
      </c>
      <c r="G8" s="49">
        <f>Historical_IS!F5/Historical_IS!F2</f>
        <v>0.74731687474576802</v>
      </c>
      <c r="H8" s="49">
        <f>Historical_IS!G5/Historical_IS!G2</f>
        <v>0.74124877418883284</v>
      </c>
      <c r="I8" s="50">
        <v>0.78</v>
      </c>
      <c r="J8" s="51" t="str">
        <f>IF(C8&lt;I33, "Better than Benchmark", IF(C8&gt;I8,"Worse than Benchmark", "At Benchmark"))</f>
        <v>At Benchmark</v>
      </c>
    </row>
    <row r="9" spans="1:10" x14ac:dyDescent="0.3">
      <c r="A9" s="47" t="s">
        <v>147</v>
      </c>
      <c r="B9" s="52" t="s">
        <v>186</v>
      </c>
      <c r="C9" s="49">
        <f>Historical_IS!B3/Historical_IS!B2</f>
        <v>0.58045621879927045</v>
      </c>
      <c r="D9" s="49">
        <f>Historical_IS!C3/Historical_IS!C2</f>
        <v>0.57099215114912816</v>
      </c>
      <c r="E9" s="49">
        <f>Historical_IS!D3/Historical_IS!D2</f>
        <v>0.5817147032084784</v>
      </c>
      <c r="F9" s="49">
        <f>Historical_IS!E3/Historical_IS!E2</f>
        <v>0.56561310754109417</v>
      </c>
      <c r="G9" s="49">
        <f>Historical_IS!F3/Historical_IS!F2</f>
        <v>0.56089573098866252</v>
      </c>
      <c r="H9" s="49">
        <f>Historical_IS!G3/Historical_IS!G2</f>
        <v>0.55923789568575377</v>
      </c>
      <c r="I9" s="50">
        <v>0.55000000000000004</v>
      </c>
      <c r="J9" s="51" t="str">
        <f>IF(C9&lt;I34, "Better than Benchmark", IF(C9&gt;I9,"Worse than Benchmark", "At Benchmark"))</f>
        <v>Worse than Benchmark</v>
      </c>
    </row>
    <row r="10" spans="1:10" x14ac:dyDescent="0.3">
      <c r="A10" s="47" t="s">
        <v>148</v>
      </c>
      <c r="B10" s="52" t="s">
        <v>187</v>
      </c>
      <c r="C10" s="49">
        <f>Historical_IS!B4/Historical_IS!B2</f>
        <v>0.16923388048131047</v>
      </c>
      <c r="D10" s="49">
        <f>Historical_IS!C4/Historical_IS!C2</f>
        <v>0.18553289154172736</v>
      </c>
      <c r="E10" s="49">
        <f>Historical_IS!D4/Historical_IS!D2</f>
        <v>0.17207224784447867</v>
      </c>
      <c r="F10" s="49">
        <f>Historical_IS!E4/Historical_IS!E2</f>
        <v>0.19382323980519653</v>
      </c>
      <c r="G10" s="49">
        <f>Historical_IS!F4/Historical_IS!F2</f>
        <v>0.18642114375710545</v>
      </c>
      <c r="H10" s="49">
        <f>Historical_IS!G4/Historical_IS!G2</f>
        <v>0.18201087850307898</v>
      </c>
      <c r="I10" s="50">
        <v>0.23</v>
      </c>
      <c r="J10" s="51" t="str">
        <f>IF(C10&lt;I35, "Better than Benchmark", IF(C10&gt;I10,"Worse than Benchmark", "At Benchmark"))</f>
        <v>Better than Benchmark</v>
      </c>
    </row>
    <row r="11" spans="1:10" x14ac:dyDescent="0.3">
      <c r="A11" s="47" t="s">
        <v>149</v>
      </c>
      <c r="B11" s="52" t="s">
        <v>188</v>
      </c>
      <c r="C11" s="49">
        <f>(Historical_IS!B7-Historical_IS!B8)/Historical_IS!B7</f>
        <v>0.24923601734062967</v>
      </c>
      <c r="D11" s="49">
        <f>(Historical_IS!C7-Historical_IS!C8)/Historical_IS!C7</f>
        <v>0.25681529442378043</v>
      </c>
      <c r="E11" s="49">
        <f>(Historical_IS!D7-Historical_IS!D8)/Historical_IS!D7</f>
        <v>0.26100130080269046</v>
      </c>
      <c r="F11" s="49">
        <f>(Historical_IS!E7-Historical_IS!E8)/Historical_IS!E7</f>
        <v>0.25937055195318676</v>
      </c>
      <c r="G11" s="49">
        <f>(Historical_IS!F7-Historical_IS!F8)/Historical_IS!F7</f>
        <v>0.25847892119875404</v>
      </c>
      <c r="H11" s="49">
        <f>(Historical_IS!G7-Historical_IS!G8)/Historical_IS!G7</f>
        <v>0.25768153319400594</v>
      </c>
      <c r="I11" s="50">
        <v>0.23</v>
      </c>
      <c r="J11" s="51" t="str">
        <f>IF(C11&lt;I36, "Better than Benchmark", IF(C11&gt;I11,"Worse than Benchmark", "At Benchmark"))</f>
        <v>Better than Benchmark</v>
      </c>
    </row>
    <row r="12" spans="1:10" x14ac:dyDescent="0.3">
      <c r="A12" s="53" t="s">
        <v>150</v>
      </c>
      <c r="B12" s="54" t="s">
        <v>189</v>
      </c>
      <c r="C12" s="55">
        <f>(Historical_IS!B6+'Cash Flow'!B8)/Historical_IS!B2</f>
        <v>0.27113223304534101</v>
      </c>
      <c r="D12" s="55">
        <f>(Historical_IS!C6+'Cash Flow'!C8)/Historical_IS!C2</f>
        <v>0.26400573389105608</v>
      </c>
      <c r="E12" s="55">
        <f>(Historical_IS!D6+'Cash Flow'!D8)/Historical_IS!D2</f>
        <v>0.26690688396923118</v>
      </c>
      <c r="F12" s="55">
        <f>(Historical_IS!E6+'Cash Flow'!E8)/Historical_IS!E2</f>
        <v>0.26283831134845514</v>
      </c>
      <c r="G12" s="55">
        <f>(Historical_IS!F6+'Cash Flow'!F8)/Historical_IS!F2</f>
        <v>0.27669305464292793</v>
      </c>
      <c r="H12" s="55">
        <f>(Historical_IS!G6+'Cash Flow'!G8)/Historical_IS!G2</f>
        <v>0.28351108864213626</v>
      </c>
      <c r="I12" s="55"/>
      <c r="J12" s="56"/>
    </row>
    <row r="13" spans="1:10" x14ac:dyDescent="0.3">
      <c r="A13" s="47"/>
      <c r="B13" s="52"/>
      <c r="C13" s="51"/>
      <c r="D13" s="51"/>
      <c r="E13" s="51"/>
      <c r="F13" s="51"/>
      <c r="G13" s="51"/>
      <c r="H13" s="51"/>
      <c r="I13" s="51"/>
      <c r="J13" s="51"/>
    </row>
    <row r="14" spans="1:10" s="159" customFormat="1" ht="20" x14ac:dyDescent="0.35">
      <c r="A14" s="223" t="s">
        <v>151</v>
      </c>
      <c r="B14" s="224"/>
      <c r="C14" s="224"/>
      <c r="D14" s="224"/>
      <c r="E14" s="224"/>
      <c r="F14" s="224"/>
      <c r="G14" s="224"/>
      <c r="H14" s="224"/>
      <c r="I14" s="224"/>
      <c r="J14" s="225"/>
    </row>
    <row r="15" spans="1:10" s="157" customFormat="1" ht="20.5" thickBot="1" x14ac:dyDescent="0.4">
      <c r="A15" s="71" t="s">
        <v>192</v>
      </c>
      <c r="B15" s="72" t="s">
        <v>193</v>
      </c>
      <c r="C15" s="72" t="s">
        <v>10</v>
      </c>
      <c r="D15" s="72" t="s">
        <v>5</v>
      </c>
      <c r="E15" s="72" t="s">
        <v>4</v>
      </c>
      <c r="F15" s="72" t="s">
        <v>3</v>
      </c>
      <c r="G15" s="72" t="s">
        <v>2</v>
      </c>
      <c r="H15" s="72" t="s">
        <v>1</v>
      </c>
      <c r="I15" s="72" t="s">
        <v>194</v>
      </c>
      <c r="J15" s="72" t="s">
        <v>195</v>
      </c>
    </row>
    <row r="16" spans="1:10" x14ac:dyDescent="0.3">
      <c r="A16" s="47" t="s">
        <v>245</v>
      </c>
      <c r="B16" s="48" t="s">
        <v>190</v>
      </c>
      <c r="C16" s="57">
        <f>'Balance sheet'!B30/'Balance sheet'!B55</f>
        <v>2.2278129822372525</v>
      </c>
      <c r="D16" s="57">
        <f>'Balance sheet'!C30/'Balance sheet'!C55</f>
        <v>2.3209184732363539</v>
      </c>
      <c r="E16" s="57">
        <f>'Balance sheet'!D30/'Balance sheet'!D55</f>
        <v>1.5579874110338585</v>
      </c>
      <c r="F16" s="57">
        <f>'Balance sheet'!E30/'Balance sheet'!E55</f>
        <v>1.497361413701283</v>
      </c>
      <c r="G16" s="57">
        <f>'Balance sheet'!F30/'Balance sheet'!F55</f>
        <v>1.6276200514938397</v>
      </c>
      <c r="H16" s="57">
        <f>'Balance sheet'!G30/'Balance sheet'!G55</f>
        <v>1.6542998667170623</v>
      </c>
      <c r="I16" s="51">
        <v>2.5</v>
      </c>
      <c r="J16" s="51" t="str">
        <f t="shared" ref="J16:J18" si="1">IF(C16&gt;I16,"Above Benchmark", IF(C16&lt;I16,"Below Benchmark","At Benchmark"))</f>
        <v>Below Benchmark</v>
      </c>
    </row>
    <row r="17" spans="1:10" x14ac:dyDescent="0.3">
      <c r="A17" s="47" t="s">
        <v>152</v>
      </c>
      <c r="B17" s="48" t="s">
        <v>202</v>
      </c>
      <c r="C17" s="57">
        <f>('Balance sheet'!B30-'Balance sheet'!B21)/'Balance sheet'!B55</f>
        <v>2.2273369012049775</v>
      </c>
      <c r="D17" s="57">
        <f>('Balance sheet'!C30-'Balance sheet'!C21)/'Balance sheet'!C55</f>
        <v>2.3205222542970887</v>
      </c>
      <c r="E17" s="57">
        <f>('Balance sheet'!D30-'Balance sheet'!D21)/'Balance sheet'!D55</f>
        <v>1.5575897203823315</v>
      </c>
      <c r="F17" s="57">
        <f>('Balance sheet'!E30-'Balance sheet'!E21)/'Balance sheet'!E55</f>
        <v>1.4969256838537883</v>
      </c>
      <c r="G17" s="57">
        <f>('Balance sheet'!F30-'Balance sheet'!F21)/'Balance sheet'!F55</f>
        <v>1.6272917350659224</v>
      </c>
      <c r="H17" s="57">
        <f>('Balance sheet'!G30-'Balance sheet'!G21)/'Balance sheet'!G55</f>
        <v>1.6541606158865305</v>
      </c>
      <c r="I17" s="51">
        <v>2.2999999999999998</v>
      </c>
      <c r="J17" s="51" t="str">
        <f t="shared" si="1"/>
        <v>Below Benchmark</v>
      </c>
    </row>
    <row r="18" spans="1:10" x14ac:dyDescent="0.3">
      <c r="A18" s="47" t="s">
        <v>153</v>
      </c>
      <c r="B18" s="48" t="s">
        <v>203</v>
      </c>
      <c r="C18" s="57">
        <f>'Balance sheet'!B24/'Balance sheet'!B55</f>
        <v>0.10534524083133598</v>
      </c>
      <c r="D18" s="57">
        <f>'Balance sheet'!C24/'Balance sheet'!C55</f>
        <v>0.15739325673100507</v>
      </c>
      <c r="E18" s="57">
        <f>'Balance sheet'!D24/'Balance sheet'!D55</f>
        <v>6.7292000932516013E-2</v>
      </c>
      <c r="F18" s="57">
        <f>'Balance sheet'!E24/'Balance sheet'!E55</f>
        <v>2.3593964334705075E-2</v>
      </c>
      <c r="G18" s="57">
        <f>'Balance sheet'!F24/'Balance sheet'!F55</f>
        <v>0.14164261892830607</v>
      </c>
      <c r="H18" s="57">
        <f>'Balance sheet'!G24/'Balance sheet'!G55</f>
        <v>2.212098907875629E-2</v>
      </c>
      <c r="I18" s="51">
        <v>1.5</v>
      </c>
      <c r="J18" s="51" t="str">
        <f t="shared" si="1"/>
        <v>Below Benchmark</v>
      </c>
    </row>
    <row r="19" spans="1:10" x14ac:dyDescent="0.3">
      <c r="A19" s="47" t="s">
        <v>154</v>
      </c>
      <c r="B19" s="48" t="s">
        <v>204</v>
      </c>
      <c r="C19" s="58">
        <f>'Balance sheet'!B30-'Balance sheet'!B55</f>
        <v>74791</v>
      </c>
      <c r="D19" s="58">
        <f>'Balance sheet'!C30-'Balance sheet'!C55</f>
        <v>70010</v>
      </c>
      <c r="E19" s="58">
        <f>'Balance sheet'!D30-'Balance sheet'!D55</f>
        <v>40689</v>
      </c>
      <c r="F19" s="58">
        <f>'Balance sheet'!E30-'Balance sheet'!E55</f>
        <v>30819</v>
      </c>
      <c r="G19" s="58">
        <f>'Balance sheet'!F30-'Balance sheet'!F55</f>
        <v>36321</v>
      </c>
      <c r="H19" s="58">
        <f>'Balance sheet'!G30-'Balance sheet'!G55</f>
        <v>32891</v>
      </c>
      <c r="I19" s="51" t="s">
        <v>563</v>
      </c>
      <c r="J19" s="51" t="str">
        <f>IF(C19&gt;0,"Healthy", IF(C19&lt;0, "Negative","Break-even"))</f>
        <v>Healthy</v>
      </c>
    </row>
    <row r="20" spans="1:10" x14ac:dyDescent="0.3">
      <c r="A20" s="53" t="s">
        <v>155</v>
      </c>
      <c r="B20" s="59" t="s">
        <v>205</v>
      </c>
      <c r="C20" s="55">
        <f>C19/Historical_IS!B2</f>
        <v>0.28009407499784661</v>
      </c>
      <c r="D20" s="55">
        <f>D19/Historical_IS!C2</f>
        <v>0.27420062352148644</v>
      </c>
      <c r="E20" s="55">
        <f>E19/Historical_IS!D2</f>
        <v>0.1689090176966537</v>
      </c>
      <c r="F20" s="55">
        <f>F19/Historical_IS!E2</f>
        <v>0.13669508289792334</v>
      </c>
      <c r="G20" s="55">
        <f>G19/Historical_IS!F2</f>
        <v>0.18941456240808535</v>
      </c>
      <c r="H20" s="55">
        <f>H19/Historical_IS!G2</f>
        <v>0.20033865888644573</v>
      </c>
      <c r="I20" s="60">
        <v>2</v>
      </c>
      <c r="J20" s="56" t="str">
        <f t="shared" ref="J20" si="2">IF(C20&gt;I20,"Above Benchmark", IF(C20&lt;I20,"Below Benchmark","At Benchmark"))</f>
        <v>Below Benchmark</v>
      </c>
    </row>
    <row r="21" spans="1:10" x14ac:dyDescent="0.3">
      <c r="A21" s="47"/>
      <c r="B21" s="52"/>
      <c r="C21" s="51"/>
      <c r="D21" s="51"/>
      <c r="E21" s="51"/>
      <c r="F21" s="51"/>
      <c r="G21" s="51"/>
      <c r="H21" s="51"/>
      <c r="I21" s="51"/>
      <c r="J21" s="51"/>
    </row>
    <row r="22" spans="1:10" s="159" customFormat="1" ht="20" x14ac:dyDescent="0.35">
      <c r="A22" s="223" t="s">
        <v>156</v>
      </c>
      <c r="B22" s="224"/>
      <c r="C22" s="224"/>
      <c r="D22" s="224"/>
      <c r="E22" s="224"/>
      <c r="F22" s="224"/>
      <c r="G22" s="224"/>
      <c r="H22" s="224"/>
      <c r="I22" s="224"/>
      <c r="J22" s="225"/>
    </row>
    <row r="23" spans="1:10" s="160" customFormat="1" ht="20.5" thickBot="1" x14ac:dyDescent="0.4">
      <c r="A23" s="71" t="s">
        <v>192</v>
      </c>
      <c r="B23" s="72" t="s">
        <v>193</v>
      </c>
      <c r="C23" s="72" t="s">
        <v>10</v>
      </c>
      <c r="D23" s="72" t="s">
        <v>5</v>
      </c>
      <c r="E23" s="72" t="s">
        <v>4</v>
      </c>
      <c r="F23" s="72" t="s">
        <v>3</v>
      </c>
      <c r="G23" s="72" t="s">
        <v>2</v>
      </c>
      <c r="H23" s="72" t="s">
        <v>1</v>
      </c>
      <c r="I23" s="72" t="s">
        <v>194</v>
      </c>
      <c r="J23" s="72" t="s">
        <v>195</v>
      </c>
    </row>
    <row r="24" spans="1:10" x14ac:dyDescent="0.3">
      <c r="A24" s="47" t="s">
        <v>157</v>
      </c>
      <c r="B24" s="48" t="s">
        <v>197</v>
      </c>
      <c r="C24" s="61">
        <f>Historical_IS!B2/AVERAGE('Balance sheet'!B32,'Balance sheet'!C32)</f>
        <v>1.5615217499364038</v>
      </c>
      <c r="D24" s="61">
        <f>Historical_IS!C2/AVERAGE('Balance sheet'!C32,'Balance sheet'!D32)</f>
        <v>1.5298618580112466</v>
      </c>
      <c r="E24" s="61">
        <f>Historical_IS!D2/AVERAGE('Balance sheet'!D32,'Balance sheet'!E32)</f>
        <v>1.4739917640076119</v>
      </c>
      <c r="F24" s="61">
        <f>Historical_IS!E2/AVERAGE('Balance sheet'!E32,'Balance sheet'!F32)</f>
        <v>1.4914843861117266</v>
      </c>
      <c r="G24" s="61">
        <f>Historical_IS!F2/AVERAGE('Balance sheet'!F32,'Balance sheet'!G32)</f>
        <v>1.3812044860297772</v>
      </c>
      <c r="H24" s="61">
        <f>Historical_IS!G2/AVERAGE('Balance sheet'!G32,'Balance sheet'!H32)</f>
        <v>1.2822821884640918</v>
      </c>
      <c r="I24" s="51">
        <v>1.3</v>
      </c>
      <c r="J24" s="51" t="str">
        <f t="shared" ref="J24:J25" si="3">IF(C24&gt;I24,"Above Benchmark", IF(C24&lt;I24,"Below Benchmark","At Benchmark"))</f>
        <v>Above Benchmark</v>
      </c>
    </row>
    <row r="25" spans="1:10" x14ac:dyDescent="0.3">
      <c r="A25" s="47" t="s">
        <v>158</v>
      </c>
      <c r="B25" s="48" t="s">
        <v>198</v>
      </c>
      <c r="C25" s="61">
        <f>Historical_IS!B2/AVERAGE(Historical_BS!B2,Historical_BS!C2)</f>
        <v>20.660863509749305</v>
      </c>
      <c r="D25" s="61">
        <f>Historical_IS!C2/AVERAGE(Historical_BS!C2,Historical_BS!D2)</f>
        <v>21.999310701361363</v>
      </c>
      <c r="E25" s="61">
        <f>Historical_IS!D2/AVERAGE(Historical_BS!D2,Historical_BS!E2)</f>
        <v>21.75990244343074</v>
      </c>
      <c r="F25" s="61">
        <f>Historical_IS!E2/AVERAGE(Historical_BS!E2,Historical_BS!F2)</f>
        <v>19.492326978774912</v>
      </c>
      <c r="G25" s="61">
        <f>Historical_IS!F2/AVERAGE(Historical_BS!F2,Historical_BS!G2)</f>
        <v>16.201596890710153</v>
      </c>
      <c r="H25" s="61">
        <f>Historical_IS!G2/AVERAGE(Historical_BS!G2,Historical_BS!H2)</f>
        <v>13.826595923867274</v>
      </c>
      <c r="I25" s="51">
        <v>15</v>
      </c>
      <c r="J25" s="51" t="str">
        <f t="shared" si="3"/>
        <v>Above Benchmark</v>
      </c>
    </row>
    <row r="26" spans="1:10" ht="21.5" x14ac:dyDescent="0.3">
      <c r="A26" s="47" t="s">
        <v>159</v>
      </c>
      <c r="B26" s="48" t="s">
        <v>247</v>
      </c>
      <c r="C26" s="61">
        <f>AVERAGE('Balance sheet'!B23,'Balance sheet'!C23)/Historical_IS!B2*365</f>
        <v>86.636257073413702</v>
      </c>
      <c r="D26" s="61">
        <f>AVERAGE('Balance sheet'!C23,'Balance sheet'!D23)/Historical_IS!C2*365</f>
        <v>73.760095016528027</v>
      </c>
      <c r="E26" s="61">
        <f>AVERAGE('Balance sheet'!D23,'Balance sheet'!E23)/Historical_IS!D2*365</f>
        <v>65.869338253913554</v>
      </c>
      <c r="F26" s="61">
        <f>AVERAGE('Balance sheet'!E23,'Balance sheet'!F23)/Historical_IS!E2*365</f>
        <v>63.866662526945149</v>
      </c>
      <c r="G26" s="61">
        <f>AVERAGE('Balance sheet'!F23,'Balance sheet'!G23)/Historical_IS!F2*365</f>
        <v>63.502964736068087</v>
      </c>
      <c r="H26" s="61">
        <f>AVERAGE('Balance sheet'!G23,'Balance sheet'!H23)/Historical_IS!G2*365</f>
        <v>68.07692307692308</v>
      </c>
      <c r="I26" s="51">
        <v>70</v>
      </c>
      <c r="J26" s="51" t="str">
        <f>IF(C26&lt;I51, "Better than Benchmark", IF(C26&gt;I26,"Worse than Benchmark", "At Benchmark"))</f>
        <v>Worse than Benchmark</v>
      </c>
    </row>
    <row r="27" spans="1:10" x14ac:dyDescent="0.3">
      <c r="A27" s="47" t="s">
        <v>160</v>
      </c>
      <c r="B27" s="48" t="s">
        <v>199</v>
      </c>
      <c r="C27" s="61">
        <f>AVERAGE('Balance sheet'!B21,'Balance sheet'!C21)/Historical_IS!B5*365</f>
        <v>4.5583291288471051E-2</v>
      </c>
      <c r="D27" s="61">
        <f>AVERAGE('Balance sheet'!C21,'Balance sheet'!D21)/Historical_IS!C5*365</f>
        <v>4.7240874098540588E-2</v>
      </c>
      <c r="E27" s="61">
        <f>AVERAGE('Balance sheet'!D21,'Balance sheet'!E21)/Historical_IS!D5*365</f>
        <v>5.6283111762179074E-2</v>
      </c>
      <c r="F27" s="61">
        <f>AVERAGE('Balance sheet'!E21,'Balance sheet'!F21)/Historical_IS!E5*365</f>
        <v>4.9030200734722959E-2</v>
      </c>
      <c r="G27" s="61">
        <f>AVERAGE('Balance sheet'!F21,'Balance sheet'!G21)/Historical_IS!F5*365</f>
        <v>3.3112120641167891E-2</v>
      </c>
      <c r="H27" s="61">
        <f>AVERAGE('Balance sheet'!G21,'Balance sheet'!H21)/Historical_IS!G5*365</f>
        <v>2.0994938206678939E-2</v>
      </c>
      <c r="I27" s="51">
        <v>5</v>
      </c>
      <c r="J27" s="51" t="str">
        <f>IF(C27&lt;I52, "Better than Benchmark", IF(C27&gt;I27,"Worse than Benchmark", "At Benchmark"))</f>
        <v>Better than Benchmark</v>
      </c>
    </row>
    <row r="28" spans="1:10" x14ac:dyDescent="0.3">
      <c r="A28" s="47" t="s">
        <v>161</v>
      </c>
      <c r="B28" s="48" t="s">
        <v>200</v>
      </c>
      <c r="C28" s="61">
        <f>AVERAGE('Balance sheet'!B23,'Balance sheet'!C23)/Historical_IS!B5*365</f>
        <v>115.56276007453179</v>
      </c>
      <c r="D28" s="61">
        <f>AVERAGE('Balance sheet'!C23,'Balance sheet'!D23)/Historical_IS!C5*365</f>
        <v>97.498550417013959</v>
      </c>
      <c r="E28" s="61">
        <f>AVERAGE('Balance sheet'!D23,'Balance sheet'!E23)/Historical_IS!D5*365</f>
        <v>87.38455628861891</v>
      </c>
      <c r="F28" s="61">
        <f>AVERAGE('Balance sheet'!E23,'Balance sheet'!F23)/Historical_IS!E5*365</f>
        <v>84.097452999340035</v>
      </c>
      <c r="G28" s="61">
        <f>AVERAGE('Balance sheet'!F23,'Balance sheet'!G23)/Historical_IS!F5*365</f>
        <v>84.974616366947899</v>
      </c>
      <c r="H28" s="61">
        <f>AVERAGE('Balance sheet'!G23,'Balance sheet'!H23)/Historical_IS!G5*365</f>
        <v>91.840857546673675</v>
      </c>
      <c r="I28" s="51">
        <v>25</v>
      </c>
      <c r="J28" s="51" t="str">
        <f>IF(C28&lt;I53, "Better than Benchmark", IF(C28&gt;I28,"Worse than Benchmark", "At Benchmark"))</f>
        <v>Worse than Benchmark</v>
      </c>
    </row>
    <row r="29" spans="1:10" x14ac:dyDescent="0.3">
      <c r="A29" s="53" t="s">
        <v>162</v>
      </c>
      <c r="B29" s="59" t="s">
        <v>201</v>
      </c>
      <c r="C29" s="62">
        <f>C26+C27-C28</f>
        <v>-28.880919709829627</v>
      </c>
      <c r="D29" s="62">
        <f t="shared" ref="D29:H29" si="4">D26+D27-D28</f>
        <v>-23.691214526387398</v>
      </c>
      <c r="E29" s="62">
        <f t="shared" si="4"/>
        <v>-21.458934922943172</v>
      </c>
      <c r="F29" s="62">
        <f t="shared" si="4"/>
        <v>-20.181760271660167</v>
      </c>
      <c r="G29" s="62">
        <f t="shared" si="4"/>
        <v>-21.438539510238641</v>
      </c>
      <c r="H29" s="62">
        <f t="shared" si="4"/>
        <v>-23.742939531543911</v>
      </c>
      <c r="I29" s="56">
        <v>50</v>
      </c>
      <c r="J29" s="56" t="str">
        <f>IF(C29&lt;I54, "Better than Benchmark", IF(C29&gt;I29,"Worse than Benchmark", "At Benchmark"))</f>
        <v>Better than Benchmark</v>
      </c>
    </row>
    <row r="30" spans="1:10" x14ac:dyDescent="0.3">
      <c r="A30" s="47"/>
      <c r="B30" s="52"/>
      <c r="C30" s="51"/>
      <c r="D30" s="51"/>
      <c r="E30" s="51"/>
      <c r="F30" s="51"/>
      <c r="G30" s="51"/>
      <c r="H30" s="51"/>
      <c r="I30" s="51"/>
      <c r="J30" s="51"/>
    </row>
    <row r="31" spans="1:10" s="159" customFormat="1" ht="20" x14ac:dyDescent="0.35">
      <c r="A31" s="223" t="s">
        <v>163</v>
      </c>
      <c r="B31" s="224"/>
      <c r="C31" s="224"/>
      <c r="D31" s="224"/>
      <c r="E31" s="224"/>
      <c r="F31" s="224"/>
      <c r="G31" s="224"/>
      <c r="H31" s="224"/>
      <c r="I31" s="224"/>
      <c r="J31" s="225"/>
    </row>
    <row r="32" spans="1:10" s="160" customFormat="1" ht="20.5" thickBot="1" x14ac:dyDescent="0.4">
      <c r="A32" s="71" t="s">
        <v>192</v>
      </c>
      <c r="B32" s="72" t="s">
        <v>193</v>
      </c>
      <c r="C32" s="72" t="s">
        <v>10</v>
      </c>
      <c r="D32" s="72" t="s">
        <v>5</v>
      </c>
      <c r="E32" s="72" t="s">
        <v>4</v>
      </c>
      <c r="F32" s="72" t="s">
        <v>3</v>
      </c>
      <c r="G32" s="72" t="s">
        <v>2</v>
      </c>
      <c r="H32" s="72" t="s">
        <v>1</v>
      </c>
      <c r="I32" s="72" t="s">
        <v>194</v>
      </c>
      <c r="J32" s="72" t="s">
        <v>195</v>
      </c>
    </row>
    <row r="33" spans="1:10" x14ac:dyDescent="0.3">
      <c r="A33" s="47" t="s">
        <v>164</v>
      </c>
      <c r="B33" s="48" t="s">
        <v>206</v>
      </c>
      <c r="C33" s="57">
        <f>('Balance sheet'!B42+'Balance sheet'!B44+'Balance sheet'!B52)/'Balance sheet'!B39</f>
        <v>0.10401187337524659</v>
      </c>
      <c r="D33" s="57">
        <f>('Balance sheet'!C42+'Balance sheet'!C44+'Balance sheet'!C52)/'Balance sheet'!C39</f>
        <v>9.8067264620814235E-2</v>
      </c>
      <c r="E33" s="57">
        <f>('Balance sheet'!D42+'Balance sheet'!D44+'Balance sheet'!D52)/'Balance sheet'!D39</f>
        <v>3.5713375309082564E-2</v>
      </c>
      <c r="F33" s="57">
        <f>('Balance sheet'!E42+'Balance sheet'!E44+'Balance sheet'!E52)/'Balance sheet'!E39</f>
        <v>3.9207087097623015E-2</v>
      </c>
      <c r="G33" s="57">
        <f>('Balance sheet'!F42+'Balance sheet'!F44+'Balance sheet'!F52)/'Balance sheet'!F39</f>
        <v>4.1704123509869066E-2</v>
      </c>
      <c r="H33" s="57">
        <f>('Balance sheet'!G42+'Balance sheet'!G44+'Balance sheet'!G52)/'Balance sheet'!G39</f>
        <v>4.6945013720518257E-2</v>
      </c>
      <c r="I33" s="57">
        <v>0.1</v>
      </c>
      <c r="J33" s="51" t="str">
        <f>IF(C33&lt;I33, "Better than Benchmark", IF(C33&gt;I33,"Worse than Benchmark", "At Benchmark"))</f>
        <v>Worse than Benchmark</v>
      </c>
    </row>
    <row r="34" spans="1:10" x14ac:dyDescent="0.3">
      <c r="A34" s="47" t="s">
        <v>165</v>
      </c>
      <c r="B34" s="48" t="s">
        <v>207</v>
      </c>
      <c r="C34" s="57">
        <f>'Balance sheet'!B57/'Balance sheet'!B32</f>
        <v>0.40518281315114163</v>
      </c>
      <c r="D34" s="57">
        <f>'Balance sheet'!C57/'Balance sheet'!C32</f>
        <v>0.40004009296556392</v>
      </c>
      <c r="E34" s="57">
        <f>'Balance sheet'!D57/'Balance sheet'!D32</f>
        <v>0.45234786802788274</v>
      </c>
      <c r="F34" s="57">
        <f>'Balance sheet'!E57/'Balance sheet'!E32</f>
        <v>0.4445841519318926</v>
      </c>
      <c r="G34" s="57">
        <f>'Balance sheet'!F57/'Balance sheet'!F32</f>
        <v>0.42573867015979738</v>
      </c>
      <c r="H34" s="57">
        <f>'Balance sheet'!G57/'Balance sheet'!G32</f>
        <v>0.43643534970906395</v>
      </c>
      <c r="I34" s="57">
        <v>0.1</v>
      </c>
      <c r="J34" s="51" t="str">
        <f>IF(C34&lt;I34, "Better than Benchmark", IF(B3&gt;C33,"Worse than Benchmark", "At Benchmark"))</f>
        <v>Worse than Benchmark</v>
      </c>
    </row>
    <row r="35" spans="1:10" x14ac:dyDescent="0.3">
      <c r="A35" s="47" t="s">
        <v>166</v>
      </c>
      <c r="B35" s="48" t="s">
        <v>208</v>
      </c>
      <c r="C35" s="57">
        <f>'Balance sheet'!B39/'Balance sheet'!B32</f>
        <v>0.59481718684885843</v>
      </c>
      <c r="D35" s="57">
        <f>'Balance sheet'!C39/'Balance sheet'!C32</f>
        <v>0.59995990703443614</v>
      </c>
      <c r="E35" s="57">
        <f>'Balance sheet'!D39/'Balance sheet'!D32</f>
        <v>0.90099794439531922</v>
      </c>
      <c r="F35" s="57">
        <f>'Balance sheet'!E39/'Balance sheet'!E32</f>
        <v>0.89595284872298619</v>
      </c>
      <c r="G35" s="57">
        <f>'Balance sheet'!F39/'Balance sheet'!F32</f>
        <v>0.85495933220608578</v>
      </c>
      <c r="H35" s="57">
        <f>'Balance sheet'!G39/'Balance sheet'!G32</f>
        <v>0.89941031749131095</v>
      </c>
      <c r="I35" s="57">
        <v>0.8</v>
      </c>
      <c r="J35" s="51" t="str">
        <f>IF(C35&gt;I35,"Above Benchmark", IF(C35&lt;I35,"Below Benchmark","At Benchmark"))</f>
        <v>Below Benchmark</v>
      </c>
    </row>
    <row r="36" spans="1:10" x14ac:dyDescent="0.3">
      <c r="A36" s="47" t="s">
        <v>167</v>
      </c>
      <c r="B36" s="48" t="s">
        <v>209</v>
      </c>
      <c r="C36" s="57">
        <f>Historical_IS!B6/'Cash Flow'!B22</f>
        <v>54.472697636511818</v>
      </c>
      <c r="D36" s="57">
        <f>Historical_IS!C6/'Cash Flow'!C22</f>
        <v>78.096733668341713</v>
      </c>
      <c r="E36" s="57">
        <f>Historical_IS!D6/'Cash Flow'!D22</f>
        <v>76.235218508997434</v>
      </c>
      <c r="F36" s="57">
        <f>Historical_IS!E6/'Cash Flow'!E22</f>
        <v>69.623876765083438</v>
      </c>
      <c r="G36" s="57">
        <f>Historical_IS!F6/'Cash Flow'!F22</f>
        <v>61.802295918367349</v>
      </c>
      <c r="H36" s="57">
        <f>Historical_IS!G6/'Cash Flow'!G22</f>
        <v>66.689167974882267</v>
      </c>
      <c r="I36" s="51">
        <v>50</v>
      </c>
      <c r="J36" s="51" t="str">
        <f>IF(C36&gt;I36,"Above Benchmark", IF(C36&lt;I36,"Below Benchmark","At Benchmark"))</f>
        <v>Above Benchmark</v>
      </c>
    </row>
    <row r="37" spans="1:10" x14ac:dyDescent="0.3">
      <c r="A37" s="53" t="s">
        <v>168</v>
      </c>
      <c r="B37" s="59" t="s">
        <v>210</v>
      </c>
      <c r="C37" s="154">
        <f>AVERAGE('Balance sheet'!B32,'Balance sheet'!C32)/AVERAGE('Balance sheet'!B39,'Balance sheet'!C39)</f>
        <v>1.6744316985640078</v>
      </c>
      <c r="D37" s="154">
        <f>AVERAGE('Balance sheet'!C32,'Balance sheet'!D32)/AVERAGE('Balance sheet'!C39,'Balance sheet'!D39)</f>
        <v>1.3209504248338855</v>
      </c>
      <c r="E37" s="154">
        <f>AVERAGE('Balance sheet'!D32,'Balance sheet'!E32)/AVERAGE('Balance sheet'!D39,'Balance sheet'!E39)</f>
        <v>1.1127914260812726</v>
      </c>
      <c r="F37" s="154">
        <f>AVERAGE('Balance sheet'!E32,'Balance sheet'!F32)/AVERAGE('Balance sheet'!E39,'Balance sheet'!F39)</f>
        <v>1.1419899749562774</v>
      </c>
      <c r="G37" s="154">
        <f>AVERAGE('Balance sheet'!F32,'Balance sheet'!G32)/AVERAGE('Balance sheet'!F39,'Balance sheet'!G39)</f>
        <v>1.1422612215681194</v>
      </c>
      <c r="H37" s="154">
        <f>AVERAGE('Balance sheet'!G32,'Balance sheet'!H32)/AVERAGE('Balance sheet'!G39,'Balance sheet'!H39)</f>
        <v>1.1118395915106465</v>
      </c>
      <c r="I37" s="56">
        <v>1.25</v>
      </c>
      <c r="J37" s="56" t="str">
        <f>IF(C37&lt;I62, "Better than Benchmark", IF(C37&gt;I37,"Worse than Benchmark", "At Benchmark"))</f>
        <v>Worse than Benchmark</v>
      </c>
    </row>
    <row r="38" spans="1:10" x14ac:dyDescent="0.3">
      <c r="A38" s="47"/>
      <c r="B38" s="52"/>
      <c r="C38" s="51"/>
      <c r="D38" s="51"/>
      <c r="E38" s="51"/>
      <c r="F38" s="51"/>
      <c r="G38" s="51"/>
      <c r="H38" s="51"/>
      <c r="I38" s="51"/>
      <c r="J38" s="51"/>
    </row>
    <row r="39" spans="1:10" s="159" customFormat="1" ht="20" x14ac:dyDescent="0.35">
      <c r="A39" s="223" t="s">
        <v>169</v>
      </c>
      <c r="B39" s="224"/>
      <c r="C39" s="224"/>
      <c r="D39" s="224"/>
      <c r="E39" s="224"/>
      <c r="F39" s="224"/>
      <c r="G39" s="224"/>
      <c r="H39" s="224"/>
      <c r="I39" s="224"/>
      <c r="J39" s="225"/>
    </row>
    <row r="40" spans="1:10" s="160" customFormat="1" ht="20.5" thickBot="1" x14ac:dyDescent="0.4">
      <c r="A40" s="71" t="s">
        <v>192</v>
      </c>
      <c r="B40" s="72" t="s">
        <v>193</v>
      </c>
      <c r="C40" s="72" t="s">
        <v>10</v>
      </c>
      <c r="D40" s="72" t="s">
        <v>5</v>
      </c>
      <c r="E40" s="72" t="s">
        <v>4</v>
      </c>
      <c r="F40" s="72" t="s">
        <v>3</v>
      </c>
      <c r="G40" s="72" t="s">
        <v>2</v>
      </c>
      <c r="H40" s="72" t="s">
        <v>1</v>
      </c>
      <c r="I40" s="72" t="s">
        <v>194</v>
      </c>
      <c r="J40" s="72" t="s">
        <v>195</v>
      </c>
    </row>
    <row r="41" spans="1:10" x14ac:dyDescent="0.3">
      <c r="A41" s="47" t="s">
        <v>560</v>
      </c>
      <c r="B41" s="48" t="s">
        <v>211</v>
      </c>
      <c r="C41" s="61">
        <f>Historical_IS!B8/AVERAGE('Balance sheet'!B39,'Balance sheet'!C39)</f>
        <v>0.51721183457446551</v>
      </c>
      <c r="D41" s="61">
        <f>Historical_IS!C8/AVERAGE('Balance sheet'!C39,'Balance sheet'!D39)</f>
        <v>0.38429361225547815</v>
      </c>
      <c r="E41" s="61">
        <f>Historical_IS!D8/AVERAGE('Balance sheet'!D39,'Balance sheet'!E39)</f>
        <v>0.31719822420742999</v>
      </c>
      <c r="F41" s="61">
        <f>Historical_IS!E8/AVERAGE('Balance sheet'!E39,'Balance sheet'!F39)</f>
        <v>0.31840656953882535</v>
      </c>
      <c r="G41" s="61">
        <f>Historical_IS!F8/AVERAGE('Balance sheet'!F39,'Balance sheet'!G39)</f>
        <v>0.31534344518905222</v>
      </c>
      <c r="H41" s="61">
        <f>Historical_IS!G8/AVERAGE('Balance sheet'!G39,'Balance sheet'!H39)</f>
        <v>0.28993712876445865</v>
      </c>
      <c r="I41" s="50">
        <v>0.3</v>
      </c>
      <c r="J41" s="51" t="str">
        <f>IF(C41&gt;I41,"Above Benchmark", IF(C41&lt;I41,"Below Benchmark","At Benchmark"))</f>
        <v>Above Benchmark</v>
      </c>
    </row>
    <row r="42" spans="1:10" x14ac:dyDescent="0.3">
      <c r="A42" s="47" t="s">
        <v>561</v>
      </c>
      <c r="B42" s="48" t="s">
        <v>212</v>
      </c>
      <c r="C42" s="61">
        <f>Historical_IS!B8/AVERAGE('Balance sheet'!B32,'Balance sheet'!C32)</f>
        <v>0.30888798570764414</v>
      </c>
      <c r="D42" s="61">
        <f>Historical_IS!C8/AVERAGE('Balance sheet'!C32,'Balance sheet'!D32)</f>
        <v>0.29092205508303198</v>
      </c>
      <c r="E42" s="61">
        <f>Historical_IS!D8/AVERAGE('Balance sheet'!D32,'Balance sheet'!E32)</f>
        <v>0.28504732942133892</v>
      </c>
      <c r="F42" s="61">
        <f>Historical_IS!E8/AVERAGE('Balance sheet'!E32,'Balance sheet'!F32)</f>
        <v>0.27881730708802061</v>
      </c>
      <c r="G42" s="61">
        <f>Historical_IS!F8/AVERAGE('Balance sheet'!F32,'Balance sheet'!G32)</f>
        <v>0.27606946575332597</v>
      </c>
      <c r="H42" s="61">
        <f>Historical_IS!G8/AVERAGE('Balance sheet'!G32,'Balance sheet'!H32)</f>
        <v>0.26077244503456087</v>
      </c>
      <c r="I42" s="50">
        <v>0.23</v>
      </c>
      <c r="J42" s="51" t="str">
        <f>IF(C42&gt;I42,"Above Benchmark", IF(C42&lt;I42,"Below Benchmark","At Benchmark"))</f>
        <v>Above Benchmark</v>
      </c>
    </row>
    <row r="43" spans="1:10" x14ac:dyDescent="0.3">
      <c r="A43" s="53" t="s">
        <v>562</v>
      </c>
      <c r="B43" s="59" t="s">
        <v>213</v>
      </c>
      <c r="C43" s="62">
        <f>Historical_IS!B6/AVERAGE(('Balance sheet'!B32-'Balance sheet'!B55),('Balance sheet'!C32-'Balance sheet'!C55))</f>
        <v>0.58607718141402809</v>
      </c>
      <c r="D43" s="62">
        <f>Historical_IS!C6/AVERAGE(('Balance sheet'!C32-'Balance sheet'!C55),('Balance sheet'!D32-'Balance sheet'!D55))</f>
        <v>0.59812859307723765</v>
      </c>
      <c r="E43" s="62">
        <f>Historical_IS!D6/AVERAGE(('Balance sheet'!D32-'Balance sheet'!D55),('Balance sheet'!E32-'Balance sheet'!E55))</f>
        <v>0.6179130289833934</v>
      </c>
      <c r="F43" s="62">
        <f>Historical_IS!E6/AVERAGE(('Balance sheet'!E32-'Balance sheet'!E55),('Balance sheet'!F32-'Balance sheet'!F55))</f>
        <v>0.59440739543319943</v>
      </c>
      <c r="G43" s="62">
        <f>Historical_IS!F6/AVERAGE(('Balance sheet'!F32-'Balance sheet'!F55),('Balance sheet'!G32-'Balance sheet'!G55))</f>
        <v>0.57164261865716548</v>
      </c>
      <c r="H43" s="62">
        <f>Historical_IS!G6/AVERAGE(('Balance sheet'!G32-'Balance sheet'!G55),('Balance sheet'!H32-'Balance sheet'!H55))</f>
        <v>1.0925340122932901</v>
      </c>
      <c r="I43" s="63">
        <v>0.38</v>
      </c>
      <c r="J43" s="56" t="str">
        <f>IF(C43&gt;I43,"Above Benchmark", IF(C43&lt;I43,"Below Benchmark","At Benchmark"))</f>
        <v>Above Benchmark</v>
      </c>
    </row>
    <row r="44" spans="1:10" x14ac:dyDescent="0.3">
      <c r="A44" s="47"/>
      <c r="B44" s="52"/>
      <c r="C44" s="51"/>
      <c r="D44" s="51"/>
      <c r="E44" s="51"/>
      <c r="F44" s="51"/>
      <c r="G44" s="51"/>
      <c r="H44" s="51"/>
      <c r="I44" s="51"/>
      <c r="J44" s="51"/>
    </row>
    <row r="45" spans="1:10" s="159" customFormat="1" ht="20" x14ac:dyDescent="0.35">
      <c r="A45" s="223" t="s">
        <v>170</v>
      </c>
      <c r="B45" s="224"/>
      <c r="C45" s="224"/>
      <c r="D45" s="224"/>
      <c r="E45" s="224"/>
      <c r="F45" s="224"/>
      <c r="G45" s="224"/>
      <c r="H45" s="224"/>
      <c r="I45" s="224"/>
      <c r="J45" s="225"/>
    </row>
    <row r="46" spans="1:10" s="160" customFormat="1" ht="20.5" thickBot="1" x14ac:dyDescent="0.4">
      <c r="A46" s="71" t="s">
        <v>192</v>
      </c>
      <c r="B46" s="72" t="s">
        <v>193</v>
      </c>
      <c r="C46" s="72" t="s">
        <v>10</v>
      </c>
      <c r="D46" s="72" t="s">
        <v>5</v>
      </c>
      <c r="E46" s="72" t="s">
        <v>4</v>
      </c>
      <c r="F46" s="72" t="s">
        <v>3</v>
      </c>
      <c r="G46" s="72" t="s">
        <v>2</v>
      </c>
      <c r="H46" s="72" t="s">
        <v>1</v>
      </c>
      <c r="I46" s="72" t="s">
        <v>194</v>
      </c>
      <c r="J46" s="72" t="s">
        <v>195</v>
      </c>
    </row>
    <row r="47" spans="1:10" x14ac:dyDescent="0.3">
      <c r="A47" s="47" t="s">
        <v>566</v>
      </c>
      <c r="B47" s="52" t="s">
        <v>250</v>
      </c>
      <c r="C47" s="58">
        <f>Historical_IS!B9</f>
        <v>145.99</v>
      </c>
      <c r="D47" s="58">
        <f>Historical_IS!C9</f>
        <v>134.19</v>
      </c>
      <c r="E47" s="58">
        <f>Historical_IS!D9</f>
        <v>127.74</v>
      </c>
      <c r="F47" s="58">
        <f>Historical_IS!E9</f>
        <v>115.19</v>
      </c>
      <c r="G47" s="58">
        <f>Historical_IS!F9</f>
        <v>103.62</v>
      </c>
      <c r="H47" s="58">
        <f>Historical_IS!G9</f>
        <v>89.27</v>
      </c>
      <c r="I47" s="51" t="s">
        <v>564</v>
      </c>
      <c r="J47" s="51" t="str">
        <f>IF(C47&gt;0,"Healthy",IF(C47&lt;0,"Negative","Break-even"))</f>
        <v>Healthy</v>
      </c>
    </row>
    <row r="48" spans="1:10" x14ac:dyDescent="0.3">
      <c r="A48" s="47" t="s">
        <v>251</v>
      </c>
      <c r="B48" s="52"/>
      <c r="C48" s="58">
        <v>2230.9</v>
      </c>
      <c r="D48" s="58">
        <v>2231.9</v>
      </c>
      <c r="E48" s="58">
        <v>2232.9</v>
      </c>
      <c r="F48" s="58">
        <v>2233.9</v>
      </c>
      <c r="G48" s="58">
        <v>2234.9</v>
      </c>
      <c r="H48" s="58">
        <v>2235.9</v>
      </c>
      <c r="I48" s="51"/>
      <c r="J48" s="51" t="s">
        <v>565</v>
      </c>
    </row>
    <row r="49" spans="1:10" x14ac:dyDescent="0.3">
      <c r="A49" s="47" t="s">
        <v>248</v>
      </c>
      <c r="B49" s="52" t="s">
        <v>249</v>
      </c>
      <c r="C49" s="61">
        <f>C48/Historical_IS!B9</f>
        <v>15.281183642715254</v>
      </c>
      <c r="D49" s="61">
        <f>D48/Historical_IS!C9</f>
        <v>16.632386914077056</v>
      </c>
      <c r="E49" s="61">
        <f>E48/Historical_IS!D9</f>
        <v>17.480037576326914</v>
      </c>
      <c r="F49" s="61">
        <f>F48/Historical_IS!E9</f>
        <v>19.393176491014845</v>
      </c>
      <c r="G49" s="61">
        <f>G48/Historical_IS!F9</f>
        <v>21.568230071414785</v>
      </c>
      <c r="H49" s="61">
        <f>H48/Historical_IS!G9</f>
        <v>25.046488181920019</v>
      </c>
      <c r="I49" s="51">
        <v>28</v>
      </c>
      <c r="J49" s="51" t="str">
        <f>IF(C49&gt;I49,"Above Benchmark", IF(C49&lt;I49,"Below Benchmark","At Benchmark"))</f>
        <v>Below Benchmark</v>
      </c>
    </row>
    <row r="50" spans="1:10" x14ac:dyDescent="0.3">
      <c r="A50" s="47" t="s">
        <v>567</v>
      </c>
      <c r="B50" s="48" t="s">
        <v>214</v>
      </c>
      <c r="C50" s="61">
        <f>'Balance sheet'!B39/361.8087518</f>
        <v>299.82138204319688</v>
      </c>
      <c r="D50" s="61">
        <f>'Balance sheet'!C39/361.8087518</f>
        <v>264.70061744924328</v>
      </c>
      <c r="E50" s="61">
        <f>'Balance sheet'!D39/361.8087518</f>
        <v>433.69874061736283</v>
      </c>
      <c r="F50" s="61">
        <f>'Balance sheet'!E39/361.8087518</f>
        <v>378.13347333186317</v>
      </c>
      <c r="G50" s="61">
        <f>'Balance sheet'!F39/361.8087518</f>
        <v>353.57077285602577</v>
      </c>
      <c r="H50" s="61">
        <f>'Balance sheet'!G39/361.8087518</f>
        <v>318.27864701198752</v>
      </c>
      <c r="I50" s="58">
        <v>250</v>
      </c>
      <c r="J50" s="51" t="str">
        <f>IF(C50&gt;I50,"Above Benchmark", IF(C50&lt;I50,"Below Benchmark","At Benchmark"))</f>
        <v>Above Benchmark</v>
      </c>
    </row>
    <row r="51" spans="1:10" x14ac:dyDescent="0.3">
      <c r="A51" s="47" t="s">
        <v>252</v>
      </c>
      <c r="B51" s="48" t="s">
        <v>253</v>
      </c>
      <c r="C51" s="61">
        <f>C48/C50</f>
        <v>7.4407635132526417</v>
      </c>
      <c r="D51" s="61">
        <f t="shared" ref="D51:H51" si="5">D48/D50</f>
        <v>8.431789927456327</v>
      </c>
      <c r="E51" s="61">
        <f t="shared" si="5"/>
        <v>5.1485046897334881</v>
      </c>
      <c r="F51" s="61">
        <f t="shared" si="5"/>
        <v>5.9077023261557464</v>
      </c>
      <c r="G51" s="61">
        <f t="shared" si="5"/>
        <v>6.3209410154216927</v>
      </c>
      <c r="H51" s="61">
        <f t="shared" si="5"/>
        <v>7.0249764506375696</v>
      </c>
      <c r="I51" s="51">
        <v>8</v>
      </c>
      <c r="J51" s="51"/>
    </row>
    <row r="52" spans="1:10" x14ac:dyDescent="0.3">
      <c r="A52" s="47" t="s">
        <v>255</v>
      </c>
      <c r="B52" s="48" t="s">
        <v>254</v>
      </c>
      <c r="C52" s="58">
        <v>100</v>
      </c>
      <c r="D52" s="58">
        <v>101</v>
      </c>
      <c r="E52" s="58">
        <v>102</v>
      </c>
      <c r="F52" s="58">
        <v>103</v>
      </c>
      <c r="G52" s="58">
        <v>104</v>
      </c>
      <c r="H52" s="58">
        <v>105</v>
      </c>
      <c r="I52" s="58">
        <v>70</v>
      </c>
      <c r="J52" s="51" t="str">
        <f>IF(C52&gt;I52,"Above Benchmark", IF(C52&lt;I52,"Below Benchmark","At Benchmark"))</f>
        <v>Above Benchmark</v>
      </c>
    </row>
    <row r="53" spans="1:10" x14ac:dyDescent="0.3">
      <c r="A53" s="47" t="s">
        <v>191</v>
      </c>
      <c r="B53" s="48" t="s">
        <v>215</v>
      </c>
      <c r="C53" s="61">
        <f>C52/Historical_IS!B9</f>
        <v>0.68497842317966984</v>
      </c>
      <c r="D53" s="61">
        <f>D52/Historical_IS!C9</f>
        <v>0.75266413294582313</v>
      </c>
      <c r="E53" s="61">
        <f>E52/Historical_IS!D9</f>
        <v>0.79849694692343831</v>
      </c>
      <c r="F53" s="61">
        <f>F52/Historical_IS!E9</f>
        <v>0.89417484156610816</v>
      </c>
      <c r="G53" s="61">
        <f>G52/Historical_IS!F9</f>
        <v>1.0036672457054623</v>
      </c>
      <c r="H53" s="61">
        <f>H52/Historical_IS!G9</f>
        <v>1.1762070124341886</v>
      </c>
      <c r="I53" s="50">
        <v>0.65</v>
      </c>
      <c r="J53" s="51" t="str">
        <f t="shared" ref="J53:J55" si="6">IF(C53&gt;I53,"Above Benchmark", IF(C53&lt;I53,"Below Benchmark","At Benchmark"))</f>
        <v>Above Benchmark</v>
      </c>
    </row>
    <row r="54" spans="1:10" x14ac:dyDescent="0.3">
      <c r="A54" s="47" t="s">
        <v>256</v>
      </c>
      <c r="B54" s="48" t="s">
        <v>257</v>
      </c>
      <c r="C54" s="61">
        <f>C52/C48</f>
        <v>4.4824958536913352E-2</v>
      </c>
      <c r="D54" s="61">
        <f t="shared" ref="D54:H54" si="7">D52/D48</f>
        <v>4.5252923518078768E-2</v>
      </c>
      <c r="E54" s="61">
        <f t="shared" si="7"/>
        <v>4.5680505172645436E-2</v>
      </c>
      <c r="F54" s="61">
        <f t="shared" si="7"/>
        <v>4.6107704015399077E-2</v>
      </c>
      <c r="G54" s="61">
        <f t="shared" si="7"/>
        <v>4.6534520560204032E-2</v>
      </c>
      <c r="H54" s="61">
        <f t="shared" si="7"/>
        <v>4.6960955320005368E-2</v>
      </c>
      <c r="I54" s="49">
        <v>1.4999999999999999E-2</v>
      </c>
      <c r="J54" s="51" t="str">
        <f t="shared" si="6"/>
        <v>Above Benchmark</v>
      </c>
    </row>
    <row r="55" spans="1:10" x14ac:dyDescent="0.3">
      <c r="A55" s="53" t="s">
        <v>171</v>
      </c>
      <c r="B55" s="59" t="s">
        <v>216</v>
      </c>
      <c r="C55" s="62">
        <f>1-C53</f>
        <v>0.31502157682033016</v>
      </c>
      <c r="D55" s="62">
        <f t="shared" ref="D55:H55" si="8">1-D53</f>
        <v>0.24733586705417687</v>
      </c>
      <c r="E55" s="62">
        <f t="shared" si="8"/>
        <v>0.20150305307656169</v>
      </c>
      <c r="F55" s="62">
        <f t="shared" si="8"/>
        <v>0.10582515843389184</v>
      </c>
      <c r="G55" s="62">
        <f t="shared" si="8"/>
        <v>-3.6672457054622853E-3</v>
      </c>
      <c r="H55" s="62">
        <f t="shared" si="8"/>
        <v>-0.17620701243418857</v>
      </c>
      <c r="I55" s="63">
        <v>0.35</v>
      </c>
      <c r="J55" s="56" t="str">
        <f t="shared" si="6"/>
        <v>Below Benchmark</v>
      </c>
    </row>
    <row r="56" spans="1:10" x14ac:dyDescent="0.3">
      <c r="A56" s="47"/>
      <c r="B56" s="52"/>
      <c r="C56" s="51"/>
      <c r="D56" s="51"/>
      <c r="E56" s="51"/>
      <c r="F56" s="51"/>
      <c r="G56" s="51"/>
      <c r="H56" s="51"/>
      <c r="I56" s="51"/>
      <c r="J56" s="51"/>
    </row>
    <row r="57" spans="1:10" s="159" customFormat="1" ht="20" x14ac:dyDescent="0.35">
      <c r="A57" s="223" t="s">
        <v>172</v>
      </c>
      <c r="B57" s="224"/>
      <c r="C57" s="224"/>
      <c r="D57" s="224"/>
      <c r="E57" s="224"/>
      <c r="F57" s="224"/>
      <c r="G57" s="224"/>
      <c r="H57" s="224"/>
      <c r="I57" s="224"/>
      <c r="J57" s="225"/>
    </row>
    <row r="58" spans="1:10" s="160" customFormat="1" ht="20.5" thickBot="1" x14ac:dyDescent="0.4">
      <c r="A58" s="71" t="s">
        <v>192</v>
      </c>
      <c r="B58" s="72" t="s">
        <v>193</v>
      </c>
      <c r="C58" s="72" t="s">
        <v>10</v>
      </c>
      <c r="D58" s="72" t="s">
        <v>5</v>
      </c>
      <c r="E58" s="72" t="s">
        <v>4</v>
      </c>
      <c r="F58" s="72" t="s">
        <v>3</v>
      </c>
      <c r="G58" s="72" t="s">
        <v>2</v>
      </c>
      <c r="H58" s="72" t="s">
        <v>1</v>
      </c>
      <c r="I58" s="72" t="s">
        <v>194</v>
      </c>
      <c r="J58" s="72" t="s">
        <v>195</v>
      </c>
    </row>
    <row r="59" spans="1:10" x14ac:dyDescent="0.3">
      <c r="A59" s="47" t="s">
        <v>173</v>
      </c>
      <c r="B59" s="48" t="s">
        <v>217</v>
      </c>
      <c r="C59" s="61">
        <f>'Cash Flow'!B34/'Balance sheet'!B55</f>
        <v>-3.6280657976819779E-2</v>
      </c>
      <c r="D59" s="61">
        <f>'Cash Flow'!C34/'Balance sheet'!C55</f>
        <v>-6.3376162713911055E-2</v>
      </c>
      <c r="E59" s="61">
        <f>'Cash Flow'!D34/'Balance sheet'!D55</f>
        <v>-9.4376105648578595E-2</v>
      </c>
      <c r="F59" s="61">
        <f>'Cash Flow'!E34/'Balance sheet'!E55</f>
        <v>-6.805454692164932E-2</v>
      </c>
      <c r="G59" s="61">
        <f>'Cash Flow'!F34/'Balance sheet'!F55</f>
        <v>-4.7847799415942353E-2</v>
      </c>
      <c r="H59" s="61">
        <f>'Cash Flow'!G34/'Balance sheet'!G55</f>
        <v>1.7167638106984424E-2</v>
      </c>
      <c r="I59" s="51">
        <v>1.2</v>
      </c>
      <c r="J59" s="51" t="str">
        <f t="shared" ref="J59:J62" si="9">IF(C59&gt;I59,"Above Benchmark", IF(C59&lt;I59,"Below Benchmark","At Benchmark"))</f>
        <v>Below Benchmark</v>
      </c>
    </row>
    <row r="60" spans="1:10" x14ac:dyDescent="0.3">
      <c r="A60" s="47" t="s">
        <v>174</v>
      </c>
      <c r="B60" s="48" t="s">
        <v>218</v>
      </c>
      <c r="C60" s="61">
        <f>'Cash Flow'!B36/Historical_IS!B2</f>
        <v>0.1950932698177297</v>
      </c>
      <c r="D60" s="61">
        <f>'Cash Flow'!C36/Historical_IS!C2</f>
        <v>0.19155269383215051</v>
      </c>
      <c r="E60" s="61">
        <f>'Cash Flow'!D36/Historical_IS!D2</f>
        <v>0.18405682190848219</v>
      </c>
      <c r="F60" s="61">
        <f>'Cash Flow'!E36/Historical_IS!E2</f>
        <v>0.18613222861907761</v>
      </c>
      <c r="G60" s="61">
        <f>'Cash Flow'!F36/Historical_IS!F2</f>
        <v>0.20833463708710118</v>
      </c>
      <c r="H60" s="61">
        <f>'Cash Flow'!G36/Historical_IS!G2</f>
        <v>0.23634248402638616</v>
      </c>
      <c r="I60" s="50">
        <v>0.2</v>
      </c>
      <c r="J60" s="51" t="str">
        <f t="shared" si="9"/>
        <v>Below Benchmark</v>
      </c>
    </row>
    <row r="61" spans="1:10" x14ac:dyDescent="0.3">
      <c r="A61" s="47" t="s">
        <v>175</v>
      </c>
      <c r="B61" s="48" t="s">
        <v>219</v>
      </c>
      <c r="C61" s="61">
        <f>'Cash Flow'!B36/AVERAGE('Balance sheet'!B32,'Balance sheet'!C32)</f>
        <v>0.30464238408659622</v>
      </c>
      <c r="D61" s="61">
        <f>'Cash Flow'!C36/AVERAGE('Balance sheet'!C32,'Balance sheet'!D32)</f>
        <v>0.29304916009311327</v>
      </c>
      <c r="E61" s="61">
        <f>'Cash Flow'!D36/AVERAGE('Balance sheet'!D32,'Balance sheet'!E32)</f>
        <v>0.27129823960251853</v>
      </c>
      <c r="F61" s="61">
        <f>'Cash Flow'!E36/AVERAGE('Balance sheet'!E32,'Balance sheet'!F32)</f>
        <v>0.27761331273753254</v>
      </c>
      <c r="G61" s="61">
        <f>'Cash Flow'!F36/AVERAGE('Balance sheet'!F32,'Balance sheet'!G32)</f>
        <v>0.28775273534008977</v>
      </c>
      <c r="H61" s="61">
        <f>'Cash Flow'!G36/AVERAGE('Balance sheet'!G32,'Balance sheet'!H32)</f>
        <v>0.30305775764439413</v>
      </c>
      <c r="I61" s="50">
        <v>1</v>
      </c>
      <c r="J61" s="51" t="str">
        <f t="shared" si="9"/>
        <v>Below Benchmark</v>
      </c>
    </row>
    <row r="62" spans="1:10" x14ac:dyDescent="0.3">
      <c r="A62" s="47" t="s">
        <v>258</v>
      </c>
      <c r="B62" s="48" t="s">
        <v>259</v>
      </c>
      <c r="C62" s="61">
        <f>'Cash Flow'!B36/AVERAGE('Balance sheet'!B39,'Balance sheet'!C39)</f>
        <v>0.5101028646407082</v>
      </c>
      <c r="D62" s="61">
        <f>'Cash Flow'!C36/AVERAGE('Balance sheet'!C39,'Balance sheet'!D39)</f>
        <v>0.38710341252221125</v>
      </c>
      <c r="E62" s="61">
        <f>'Cash Flow'!D36/AVERAGE('Balance sheet'!D39,'Balance sheet'!E39)</f>
        <v>0.30189835494062534</v>
      </c>
      <c r="F62" s="61">
        <f>'Cash Flow'!E36/AVERAGE('Balance sheet'!E39,'Balance sheet'!F39)</f>
        <v>0.31703162006066399</v>
      </c>
      <c r="G62" s="61">
        <f>'Cash Flow'!F36/AVERAGE('Balance sheet'!F39,'Balance sheet'!G39)</f>
        <v>0.32868879097913867</v>
      </c>
      <c r="H62" s="61">
        <f>'Cash Flow'!G36/AVERAGE('Balance sheet'!G39,'Balance sheet'!H39)</f>
        <v>0.33695161346347563</v>
      </c>
      <c r="I62" s="50">
        <v>0.28000000000000003</v>
      </c>
      <c r="J62" s="51" t="str">
        <f t="shared" si="9"/>
        <v>Above Benchmark</v>
      </c>
    </row>
    <row r="63" spans="1:10" x14ac:dyDescent="0.3">
      <c r="A63" s="47" t="s">
        <v>176</v>
      </c>
      <c r="B63" s="48" t="s">
        <v>220</v>
      </c>
      <c r="C63" s="58">
        <f>'Cash Flow'!B36+'Cash Flow'!B45</f>
        <v>48424</v>
      </c>
      <c r="D63" s="58">
        <f>'Cash Flow'!C36+'Cash Flow'!C45</f>
        <v>45991</v>
      </c>
      <c r="E63" s="58">
        <f>'Cash Flow'!D36+'Cash Flow'!D45</f>
        <v>42136</v>
      </c>
      <c r="F63" s="58">
        <f>'Cash Flow'!E36+'Cash Flow'!E45</f>
        <v>39433</v>
      </c>
      <c r="G63" s="58">
        <f>'Cash Flow'!F36+'Cash Flow'!F45</f>
        <v>37466</v>
      </c>
      <c r="H63" s="58">
        <f>'Cash Flow'!G36+'Cash Flow'!G45</f>
        <v>36083</v>
      </c>
      <c r="I63" s="51" t="s">
        <v>563</v>
      </c>
      <c r="J63" s="51" t="str">
        <f>IF(C63&gt;0,"Healthy",IF(C63&lt;0,"Negative","Break-even"))</f>
        <v>Healthy</v>
      </c>
    </row>
    <row r="64" spans="1:10" x14ac:dyDescent="0.3">
      <c r="A64" s="47" t="s">
        <v>177</v>
      </c>
      <c r="B64" s="48" t="s">
        <v>221</v>
      </c>
      <c r="C64" s="61">
        <f>C63/Historical_IS!B2</f>
        <v>0.18134903247310136</v>
      </c>
      <c r="D64" s="61">
        <f>D63/Historical_IS!C2</f>
        <v>0.18012799423477621</v>
      </c>
      <c r="E64" s="61">
        <f>E63/Historical_IS!D2</f>
        <v>0.17491583400098798</v>
      </c>
      <c r="F64" s="61">
        <f>F63/Historical_IS!E2</f>
        <v>0.17490175553761675</v>
      </c>
      <c r="G64" s="61">
        <f>G63/Historical_IS!F2</f>
        <v>0.19538575466483099</v>
      </c>
      <c r="H64" s="61">
        <f>H63/Historical_IS!G2</f>
        <v>0.21978108992124354</v>
      </c>
      <c r="I64" s="50">
        <v>0.18</v>
      </c>
      <c r="J64" s="51" t="str">
        <f t="shared" ref="J64:J65" si="10">IF(C64&gt;I64,"Above Benchmark", IF(C64&lt;I64,"Below Benchmark","At Benchmark"))</f>
        <v>Above Benchmark</v>
      </c>
    </row>
    <row r="65" spans="1:10" x14ac:dyDescent="0.3">
      <c r="A65" s="53" t="s">
        <v>178</v>
      </c>
      <c r="B65" s="59" t="s">
        <v>222</v>
      </c>
      <c r="C65" s="62">
        <f>'Cash Flow'!B45/'Cash Flow'!B36</f>
        <v>-7.0449571927669208E-2</v>
      </c>
      <c r="D65" s="62">
        <f>'Cash Flow'!C45/'Cash Flow'!C36</f>
        <v>-5.9642594258607996E-2</v>
      </c>
      <c r="E65" s="62">
        <f>'Cash Flow'!D45/'Cash Flow'!D36</f>
        <v>-4.966394514863097E-2</v>
      </c>
      <c r="F65" s="62">
        <f>'Cash Flow'!E45/'Cash Flow'!E36</f>
        <v>-6.0335994280948407E-2</v>
      </c>
      <c r="G65" s="62">
        <f>'Cash Flow'!F45/'Cash Flow'!F36</f>
        <v>-6.2154246664497231E-2</v>
      </c>
      <c r="H65" s="62">
        <f>'Cash Flow'!G45/'Cash Flow'!G36</f>
        <v>-7.0073707540848407E-2</v>
      </c>
      <c r="I65" s="63">
        <v>0.03</v>
      </c>
      <c r="J65" s="56" t="str">
        <f t="shared" si="10"/>
        <v>Below Benchmark</v>
      </c>
    </row>
    <row r="66" spans="1:10" x14ac:dyDescent="0.3">
      <c r="A66" s="47"/>
      <c r="B66" s="52"/>
      <c r="C66" s="51"/>
      <c r="D66" s="51"/>
      <c r="E66" s="51"/>
      <c r="F66" s="51"/>
      <c r="G66" s="51"/>
      <c r="H66" s="51"/>
      <c r="I66" s="51"/>
      <c r="J66" s="51"/>
    </row>
    <row r="67" spans="1:10" s="159" customFormat="1" ht="28" customHeight="1" x14ac:dyDescent="0.35">
      <c r="A67" s="223" t="s">
        <v>196</v>
      </c>
      <c r="B67" s="224"/>
      <c r="C67" s="224"/>
      <c r="D67" s="224"/>
      <c r="E67" s="224"/>
      <c r="F67" s="224"/>
      <c r="G67" s="224"/>
      <c r="H67" s="224"/>
      <c r="I67" s="224"/>
      <c r="J67" s="225"/>
    </row>
    <row r="68" spans="1:10" s="160" customFormat="1" ht="28" customHeight="1" thickBot="1" x14ac:dyDescent="0.4">
      <c r="A68" s="71" t="s">
        <v>192</v>
      </c>
      <c r="B68" s="72" t="s">
        <v>193</v>
      </c>
      <c r="C68" s="72" t="s">
        <v>10</v>
      </c>
      <c r="D68" s="72" t="s">
        <v>5</v>
      </c>
      <c r="E68" s="72" t="s">
        <v>4</v>
      </c>
      <c r="F68" s="72" t="s">
        <v>3</v>
      </c>
      <c r="G68" s="72" t="s">
        <v>2</v>
      </c>
      <c r="H68" s="72" t="s">
        <v>1</v>
      </c>
      <c r="I68" s="72" t="s">
        <v>194</v>
      </c>
      <c r="J68" s="72" t="s">
        <v>195</v>
      </c>
    </row>
    <row r="69" spans="1:10" x14ac:dyDescent="0.3">
      <c r="A69" s="47" t="s">
        <v>143</v>
      </c>
      <c r="B69" s="52" t="s">
        <v>260</v>
      </c>
      <c r="C69" s="64">
        <f>(Historical_IS!B2-Historical_IS!C2)/Historical_IS!C2</f>
        <v>4.5812379564788272E-2</v>
      </c>
      <c r="D69" s="64">
        <f>(Historical_IS!C2-Historical_IS!D2)/Historical_IS!D2</f>
        <v>5.9906265437351856E-2</v>
      </c>
      <c r="E69" s="64">
        <f>(Historical_IS!D2-Historical_IS!E2)/Historical_IS!E2</f>
        <v>6.8460644554639891E-2</v>
      </c>
      <c r="F69" s="64">
        <f>(Historical_IS!E2-Historical_IS!F2)/Historical_IS!F2</f>
        <v>0.17576686796624844</v>
      </c>
      <c r="G69" s="64">
        <f>(Historical_IS!F2-Historical_IS!G2)/Historical_IS!G2</f>
        <v>0.16797115308478044</v>
      </c>
      <c r="H69" s="64"/>
      <c r="I69" s="50">
        <v>0.08</v>
      </c>
      <c r="J69" s="51" t="str">
        <f t="shared" ref="J69:J75" si="11">IF(C69&gt;I69,"Above Benchmark", IF(C69&lt;I69,"Below Benchmark","At Benchmark"))</f>
        <v>Below Benchmark</v>
      </c>
    </row>
    <row r="70" spans="1:10" x14ac:dyDescent="0.3">
      <c r="A70" s="47" t="s">
        <v>179</v>
      </c>
      <c r="B70" s="52"/>
      <c r="C70" s="64">
        <f>(Historical_IS!B8-Historical_IS!C8)/Historical_IS!C8</f>
        <v>8.7883343974625661E-2</v>
      </c>
      <c r="D70" s="64">
        <f>(Historical_IS!C8-Historical_IS!D8)/Historical_IS!D8</f>
        <v>4.2245357947837285E-2</v>
      </c>
      <c r="E70" s="64">
        <f>(Historical_IS!D8-Historical_IS!E8)/Historical_IS!E8</f>
        <v>0.10529812323534296</v>
      </c>
      <c r="F70" s="64">
        <f>(Historical_IS!E8-Historical_IS!F8)/Historical_IS!F8</f>
        <v>9.9668640905888797E-2</v>
      </c>
      <c r="G70" s="64">
        <f>(Historical_IS!F8-Historical_IS!G8)/Historical_IS!G8</f>
        <v>0.14792739906553254</v>
      </c>
      <c r="H70" s="64"/>
      <c r="I70" s="50">
        <v>0.08</v>
      </c>
      <c r="J70" s="51" t="str">
        <f t="shared" si="11"/>
        <v>Above Benchmark</v>
      </c>
    </row>
    <row r="71" spans="1:10" x14ac:dyDescent="0.3">
      <c r="A71" s="47" t="s">
        <v>180</v>
      </c>
      <c r="B71" s="52"/>
      <c r="C71" s="64">
        <f>(Historical_IS!B8-Historical_IS!C8)/Historical_IS!C8</f>
        <v>8.7883343974625661E-2</v>
      </c>
      <c r="D71" s="64">
        <f>(Historical_IS!C8-Historical_IS!D8)/Historical_IS!D8</f>
        <v>4.2245357947837285E-2</v>
      </c>
      <c r="E71" s="64">
        <f>(Historical_IS!D8-Historical_IS!E8)/Historical_IS!E8</f>
        <v>0.10529812323534296</v>
      </c>
      <c r="F71" s="64">
        <f>(Historical_IS!E8-Historical_IS!F8)/Historical_IS!F8</f>
        <v>9.9668640905888797E-2</v>
      </c>
      <c r="G71" s="64">
        <f>(Historical_IS!F8-Historical_IS!G8)/Historical_IS!G8</f>
        <v>0.14792739906553254</v>
      </c>
      <c r="H71" s="64"/>
      <c r="I71" s="50">
        <v>0.08</v>
      </c>
      <c r="J71" s="51" t="str">
        <f t="shared" si="11"/>
        <v>Above Benchmark</v>
      </c>
    </row>
    <row r="72" spans="1:10" x14ac:dyDescent="0.3">
      <c r="A72" s="47" t="s">
        <v>181</v>
      </c>
      <c r="B72" s="52"/>
      <c r="C72" s="64">
        <f>(Historical_IS!B9-Historical_IS!C9)/Historical_IS!C9</f>
        <v>8.7935017512482394E-2</v>
      </c>
      <c r="D72" s="64">
        <f>(Historical_IS!C9-Historical_IS!D9)/Historical_IS!D9</f>
        <v>5.0493189290746851E-2</v>
      </c>
      <c r="E72" s="64">
        <f>(Historical_IS!D9-Historical_IS!E9)/Historical_IS!E9</f>
        <v>0.10895042972480248</v>
      </c>
      <c r="F72" s="64">
        <f>(Historical_IS!E9-Historical_IS!F9)/Historical_IS!F9</f>
        <v>0.11165798108473261</v>
      </c>
      <c r="G72" s="64">
        <f>(Historical_IS!F9-Historical_IS!G9)/Historical_IS!G9</f>
        <v>0.16074829169933919</v>
      </c>
      <c r="H72" s="64"/>
      <c r="I72" s="50">
        <v>0.1</v>
      </c>
      <c r="J72" s="51" t="str">
        <f t="shared" si="11"/>
        <v>Below Benchmark</v>
      </c>
    </row>
    <row r="73" spans="1:10" x14ac:dyDescent="0.3">
      <c r="A73" s="47" t="s">
        <v>261</v>
      </c>
      <c r="B73" s="52"/>
      <c r="C73" s="64">
        <f>('Balance sheet'!B32-'Balance sheet'!C32)/'Balance sheet'!C32</f>
        <v>0.14247411184684486</v>
      </c>
      <c r="D73" s="64">
        <f>('Balance sheet'!C32-'Balance sheet'!D32)/'Balance sheet'!D32</f>
        <v>-8.3424246948173492E-2</v>
      </c>
      <c r="E73" s="64">
        <f>('Balance sheet'!D32-'Balance sheet'!E32)/'Balance sheet'!E32</f>
        <v>0.14052390307793058</v>
      </c>
      <c r="F73" s="64">
        <f>('Balance sheet'!E32-'Balance sheet'!F32)/'Balance sheet'!F32</f>
        <v>2.0537737173103785E-2</v>
      </c>
      <c r="G73" s="64">
        <f>('Balance sheet'!F32-'Balance sheet'!G32)/'Balance sheet'!G32</f>
        <v>0.16864138712070917</v>
      </c>
      <c r="H73" s="64"/>
      <c r="I73" s="50">
        <v>0.08</v>
      </c>
      <c r="J73" s="51" t="str">
        <f t="shared" si="11"/>
        <v>Above Benchmark</v>
      </c>
    </row>
    <row r="74" spans="1:10" x14ac:dyDescent="0.3">
      <c r="A74" s="47" t="s">
        <v>262</v>
      </c>
      <c r="B74" s="52"/>
      <c r="C74" s="64">
        <f>('Balance sheet'!B39-'Balance sheet'!C39)/'Balance sheet'!C39</f>
        <v>0.13268108300007309</v>
      </c>
      <c r="D74" s="64">
        <f>('Balance sheet'!C39-'Balance sheet'!D39)/'Balance sheet'!D39</f>
        <v>-0.38966708302531289</v>
      </c>
      <c r="E74" s="64">
        <f>('Balance sheet'!D39-'Balance sheet'!E39)/'Balance sheet'!E39</f>
        <v>0.14694617431219484</v>
      </c>
      <c r="F74" s="64">
        <f>('Balance sheet'!E39-'Balance sheet'!F39)/'Balance sheet'!F39</f>
        <v>6.9470392808286111E-2</v>
      </c>
      <c r="G74" s="64">
        <f>('Balance sheet'!F39-'Balance sheet'!G39)/'Balance sheet'!G39</f>
        <v>0.11088436555628886</v>
      </c>
      <c r="H74" s="64"/>
      <c r="I74" s="50">
        <v>0.08</v>
      </c>
      <c r="J74" s="51" t="str">
        <f t="shared" si="11"/>
        <v>Above Benchmark</v>
      </c>
    </row>
    <row r="75" spans="1:10" ht="14.5" thickBot="1" x14ac:dyDescent="0.35">
      <c r="A75" s="65" t="s">
        <v>263</v>
      </c>
      <c r="B75" s="66"/>
      <c r="C75" s="67">
        <f>('Cash Flow'!B36-'Cash Flow'!C36)/'Cash Flow'!C36</f>
        <v>6.5142716937924269E-2</v>
      </c>
      <c r="D75" s="67">
        <f>('Cash Flow'!C36-'Cash Flow'!D36)/'Cash Flow'!D36</f>
        <v>0.1030718570977491</v>
      </c>
      <c r="E75" s="67">
        <f>('Cash Flow'!D36-'Cash Flow'!E36)/'Cash Flow'!E36</f>
        <v>5.6547122602168473E-2</v>
      </c>
      <c r="F75" s="67">
        <f>('Cash Flow'!E36-'Cash Flow'!F36)/'Cash Flow'!F36</f>
        <v>5.0464342036096024E-2</v>
      </c>
      <c r="G75" s="67">
        <f>('Cash Flow'!F36-'Cash Flow'!G36)/'Cash Flow'!G36</f>
        <v>2.9560331941652491E-2</v>
      </c>
      <c r="H75" s="67"/>
      <c r="I75" s="68">
        <v>0.1</v>
      </c>
      <c r="J75" s="69" t="str">
        <f t="shared" si="11"/>
        <v>Below Benchmark</v>
      </c>
    </row>
  </sheetData>
  <mergeCells count="9">
    <mergeCell ref="A1:J2"/>
    <mergeCell ref="A4:J4"/>
    <mergeCell ref="A14:J14"/>
    <mergeCell ref="A22:J22"/>
    <mergeCell ref="A31:J31"/>
    <mergeCell ref="A39:J39"/>
    <mergeCell ref="A45:J45"/>
    <mergeCell ref="A57:J57"/>
    <mergeCell ref="A67:J67"/>
  </mergeCells>
  <pageMargins left="0.7" right="0.7" top="0.75" bottom="0.75" header="0.3" footer="0.3"/>
  <ignoredErrors>
    <ignoredError sqref="J19 J6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29DC-D511-4F4C-998D-2984C2198913}">
  <dimension ref="A1:H52"/>
  <sheetViews>
    <sheetView zoomScale="93" workbookViewId="0">
      <selection activeCell="A52" activeCellId="1" sqref="A48:G48 A52:G52"/>
    </sheetView>
  </sheetViews>
  <sheetFormatPr defaultRowHeight="16.5" x14ac:dyDescent="0.35"/>
  <cols>
    <col min="1" max="1" width="38" style="22" customWidth="1"/>
    <col min="2" max="2" width="10.36328125" style="22" customWidth="1"/>
    <col min="3" max="3" width="10.81640625" style="22" customWidth="1"/>
    <col min="4" max="4" width="12.54296875" style="22" customWidth="1"/>
    <col min="5" max="5" width="10.08984375" style="22" customWidth="1"/>
    <col min="6" max="6" width="10" style="22" customWidth="1"/>
    <col min="7" max="7" width="12.1796875" style="22" customWidth="1"/>
    <col min="8" max="16384" width="8.7265625" style="22"/>
  </cols>
  <sheetData>
    <row r="1" spans="1:8" ht="16.5" customHeight="1" x14ac:dyDescent="0.65">
      <c r="A1" s="238" t="s">
        <v>223</v>
      </c>
      <c r="B1" s="239"/>
      <c r="C1" s="239"/>
      <c r="D1" s="239"/>
      <c r="E1" s="239"/>
      <c r="F1" s="239"/>
      <c r="G1" s="240"/>
      <c r="H1" s="116"/>
    </row>
    <row r="2" spans="1:8" ht="16.5" customHeight="1" thickBot="1" x14ac:dyDescent="0.7">
      <c r="A2" s="241"/>
      <c r="B2" s="242"/>
      <c r="C2" s="242"/>
      <c r="D2" s="242"/>
      <c r="E2" s="242"/>
      <c r="F2" s="242"/>
      <c r="G2" s="243"/>
      <c r="H2" s="116"/>
    </row>
    <row r="3" spans="1:8" x14ac:dyDescent="0.35">
      <c r="A3" s="189"/>
      <c r="B3" s="190"/>
      <c r="C3" s="190"/>
      <c r="D3" s="190"/>
      <c r="E3" s="190"/>
      <c r="F3" s="190"/>
      <c r="G3" s="191"/>
    </row>
    <row r="4" spans="1:8" ht="25.5" thickBot="1" x14ac:dyDescent="0.4">
      <c r="A4" s="235" t="s">
        <v>224</v>
      </c>
      <c r="B4" s="236"/>
      <c r="C4" s="236"/>
      <c r="D4" s="236"/>
      <c r="E4" s="236"/>
      <c r="F4" s="236"/>
      <c r="G4" s="237"/>
    </row>
    <row r="5" spans="1:8" s="32" customFormat="1" ht="17" thickBot="1" x14ac:dyDescent="0.4">
      <c r="A5" s="123" t="s">
        <v>225</v>
      </c>
      <c r="B5" s="128" t="s">
        <v>10</v>
      </c>
      <c r="C5" s="128" t="s">
        <v>5</v>
      </c>
      <c r="D5" s="129" t="s">
        <v>4</v>
      </c>
      <c r="E5" s="129" t="s">
        <v>3</v>
      </c>
      <c r="F5" s="129" t="s">
        <v>2</v>
      </c>
      <c r="G5" s="125" t="s">
        <v>1</v>
      </c>
    </row>
    <row r="6" spans="1:8" x14ac:dyDescent="0.35">
      <c r="A6" s="27" t="s">
        <v>226</v>
      </c>
      <c r="B6" s="126">
        <f>Historical_IS!B2</f>
        <v>267021</v>
      </c>
      <c r="C6" s="126">
        <f>Historical_IS!C2</f>
        <v>255324</v>
      </c>
      <c r="D6" s="130">
        <f>Historical_IS!D2</f>
        <v>240893</v>
      </c>
      <c r="E6" s="130">
        <f>Historical_IS!E2</f>
        <v>225458</v>
      </c>
      <c r="F6" s="130">
        <f>Historical_IS!F2</f>
        <v>191754</v>
      </c>
      <c r="G6" s="118">
        <f>Historical_IS!G2</f>
        <v>164177</v>
      </c>
    </row>
    <row r="7" spans="1:8" ht="17" thickBot="1" x14ac:dyDescent="0.4">
      <c r="A7" s="119" t="s">
        <v>227</v>
      </c>
      <c r="B7" s="127">
        <f>Historical_IS!B2/Historical_IS!G2*100</f>
        <v>162.64214841299329</v>
      </c>
      <c r="C7" s="127">
        <f>Historical_IS!C2/Historical_IS!G2*100</f>
        <v>155.51752072458382</v>
      </c>
      <c r="D7" s="131">
        <f>Historical_IS!D2/Historical_IS!G2*100</f>
        <v>146.72761714491068</v>
      </c>
      <c r="E7" s="131">
        <f>Historical_IS!E2/Historical_IS!G2*100</f>
        <v>137.32617845374199</v>
      </c>
      <c r="F7" s="131">
        <f>Historical_IS!F2/Historical_IS!G2*100</f>
        <v>116.79711530847806</v>
      </c>
      <c r="G7" s="120">
        <v>100</v>
      </c>
    </row>
    <row r="8" spans="1:8" x14ac:dyDescent="0.35">
      <c r="A8" s="192"/>
      <c r="B8" s="193"/>
      <c r="C8" s="193"/>
      <c r="D8" s="193"/>
      <c r="E8" s="193"/>
      <c r="F8" s="193"/>
      <c r="G8" s="194"/>
    </row>
    <row r="9" spans="1:8" ht="25.5" thickBot="1" x14ac:dyDescent="0.4">
      <c r="A9" s="235" t="s">
        <v>228</v>
      </c>
      <c r="B9" s="236"/>
      <c r="C9" s="236"/>
      <c r="D9" s="236"/>
      <c r="E9" s="236"/>
      <c r="F9" s="236"/>
      <c r="G9" s="237"/>
    </row>
    <row r="10" spans="1:8" s="32" customFormat="1" ht="17" thickBot="1" x14ac:dyDescent="0.4">
      <c r="A10" s="132" t="s">
        <v>225</v>
      </c>
      <c r="B10" s="124" t="s">
        <v>10</v>
      </c>
      <c r="C10" s="129" t="s">
        <v>5</v>
      </c>
      <c r="D10" s="129" t="s">
        <v>4</v>
      </c>
      <c r="E10" s="129" t="s">
        <v>3</v>
      </c>
      <c r="F10" s="129" t="s">
        <v>2</v>
      </c>
      <c r="G10" s="125" t="s">
        <v>1</v>
      </c>
    </row>
    <row r="11" spans="1:8" x14ac:dyDescent="0.35">
      <c r="A11" s="133" t="s">
        <v>12</v>
      </c>
      <c r="B11" s="117">
        <f>Historical_IS!B3</f>
        <v>154994</v>
      </c>
      <c r="C11" s="130">
        <f>Historical_IS!C3</f>
        <v>145788</v>
      </c>
      <c r="D11" s="130">
        <f>Historical_IS!D3</f>
        <v>140131</v>
      </c>
      <c r="E11" s="130">
        <f>Historical_IS!E3</f>
        <v>127522</v>
      </c>
      <c r="F11" s="130">
        <f>Historical_IS!F3</f>
        <v>107554</v>
      </c>
      <c r="G11" s="118">
        <f>Historical_IS!G3</f>
        <v>91814</v>
      </c>
    </row>
    <row r="12" spans="1:8" x14ac:dyDescent="0.35">
      <c r="A12" s="133" t="s">
        <v>13</v>
      </c>
      <c r="B12" s="117">
        <f>Historical_IS!B4</f>
        <v>45189</v>
      </c>
      <c r="C12" s="130">
        <f>Historical_IS!C4</f>
        <v>47371</v>
      </c>
      <c r="D12" s="130">
        <f>Historical_IS!D4</f>
        <v>41451</v>
      </c>
      <c r="E12" s="130">
        <f>Historical_IS!E4</f>
        <v>43699</v>
      </c>
      <c r="F12" s="130">
        <f>Historical_IS!F4</f>
        <v>35747</v>
      </c>
      <c r="G12" s="118">
        <f>Historical_IS!G4</f>
        <v>29882</v>
      </c>
    </row>
    <row r="13" spans="1:8" ht="17" thickBot="1" x14ac:dyDescent="0.4">
      <c r="A13" s="134" t="s">
        <v>229</v>
      </c>
      <c r="B13" s="121">
        <f>Historical_IS!B5</f>
        <v>200183</v>
      </c>
      <c r="C13" s="135">
        <f>Historical_IS!C5</f>
        <v>193159</v>
      </c>
      <c r="D13" s="135">
        <f>Historical_IS!D5</f>
        <v>181582</v>
      </c>
      <c r="E13" s="135">
        <f>Historical_IS!E5</f>
        <v>171221</v>
      </c>
      <c r="F13" s="135">
        <f>Historical_IS!F5</f>
        <v>143301</v>
      </c>
      <c r="G13" s="122">
        <f>Historical_IS!G5</f>
        <v>121696</v>
      </c>
    </row>
    <row r="14" spans="1:8" x14ac:dyDescent="0.35">
      <c r="A14" s="192"/>
      <c r="B14" s="193"/>
      <c r="C14" s="193"/>
      <c r="D14" s="193"/>
      <c r="E14" s="193"/>
      <c r="F14" s="193"/>
      <c r="G14" s="194"/>
    </row>
    <row r="15" spans="1:8" ht="25.5" thickBot="1" x14ac:dyDescent="0.4">
      <c r="A15" s="235" t="s">
        <v>246</v>
      </c>
      <c r="B15" s="236"/>
      <c r="C15" s="236"/>
      <c r="D15" s="236"/>
      <c r="E15" s="236"/>
      <c r="F15" s="236"/>
      <c r="G15" s="237"/>
    </row>
    <row r="16" spans="1:8" ht="17" thickBot="1" x14ac:dyDescent="0.4">
      <c r="A16" s="132" t="s">
        <v>225</v>
      </c>
      <c r="B16" s="129" t="s">
        <v>10</v>
      </c>
      <c r="C16" s="129" t="s">
        <v>5</v>
      </c>
      <c r="D16" s="129" t="s">
        <v>4</v>
      </c>
      <c r="E16" s="129" t="s">
        <v>3</v>
      </c>
      <c r="F16" s="129" t="s">
        <v>2</v>
      </c>
      <c r="G16" s="125" t="s">
        <v>1</v>
      </c>
    </row>
    <row r="17" spans="1:7" x14ac:dyDescent="0.35">
      <c r="A17" s="133" t="s">
        <v>6</v>
      </c>
      <c r="B17" s="130">
        <f>Historical_IS!B6</f>
        <v>66838</v>
      </c>
      <c r="C17" s="130">
        <f>Historical_IS!C6</f>
        <v>62165</v>
      </c>
      <c r="D17" s="130">
        <f>Historical_IS!D6</f>
        <v>59311</v>
      </c>
      <c r="E17" s="130">
        <f>Historical_IS!E6</f>
        <v>54237</v>
      </c>
      <c r="F17" s="130">
        <f>Historical_IS!F6</f>
        <v>48453</v>
      </c>
      <c r="G17" s="118">
        <f>Historical_IS!G6</f>
        <v>42481</v>
      </c>
    </row>
    <row r="18" spans="1:7" x14ac:dyDescent="0.35">
      <c r="A18" s="133" t="s">
        <v>230</v>
      </c>
      <c r="B18" s="130">
        <f>Historical_IS!B7</f>
        <v>70355</v>
      </c>
      <c r="C18" s="130">
        <f>Historical_IS!C7</f>
        <v>65331</v>
      </c>
      <c r="D18" s="130">
        <f>Historical_IS!D7</f>
        <v>63038</v>
      </c>
      <c r="E18" s="130">
        <f>Historical_IS!E7</f>
        <v>56907</v>
      </c>
      <c r="F18" s="130">
        <f>Historical_IS!F7</f>
        <v>51687</v>
      </c>
      <c r="G18" s="118">
        <f>Historical_IS!G7</f>
        <v>44978</v>
      </c>
    </row>
    <row r="19" spans="1:7" x14ac:dyDescent="0.35">
      <c r="A19" s="133" t="s">
        <v>231</v>
      </c>
      <c r="B19" s="130">
        <f>Historical_IS!B8</f>
        <v>52820</v>
      </c>
      <c r="C19" s="130">
        <f>Historical_IS!C8</f>
        <v>48553</v>
      </c>
      <c r="D19" s="130">
        <f>Historical_IS!D8</f>
        <v>46585</v>
      </c>
      <c r="E19" s="130">
        <f>Historical_IS!E8</f>
        <v>42147</v>
      </c>
      <c r="F19" s="130">
        <f>Historical_IS!F8</f>
        <v>38327</v>
      </c>
      <c r="G19" s="118">
        <f>Historical_IS!G8</f>
        <v>33388</v>
      </c>
    </row>
    <row r="20" spans="1:7" ht="17" thickBot="1" x14ac:dyDescent="0.4">
      <c r="A20" s="134" t="s">
        <v>9</v>
      </c>
      <c r="B20" s="131">
        <f>Historical_IS!B9</f>
        <v>145.99</v>
      </c>
      <c r="C20" s="131">
        <f>Historical_IS!C9</f>
        <v>134.19</v>
      </c>
      <c r="D20" s="131">
        <f>Historical_IS!D9</f>
        <v>127.74</v>
      </c>
      <c r="E20" s="131">
        <f>Historical_IS!E9</f>
        <v>115.19</v>
      </c>
      <c r="F20" s="131">
        <f>Historical_IS!F9</f>
        <v>103.62</v>
      </c>
      <c r="G20" s="120">
        <f>Historical_IS!G9</f>
        <v>89.27</v>
      </c>
    </row>
    <row r="21" spans="1:7" x14ac:dyDescent="0.35">
      <c r="A21" s="192"/>
      <c r="B21" s="193"/>
      <c r="C21" s="193"/>
      <c r="D21" s="193"/>
      <c r="E21" s="193"/>
      <c r="F21" s="193"/>
      <c r="G21" s="194"/>
    </row>
    <row r="22" spans="1:7" ht="25.5" thickBot="1" x14ac:dyDescent="0.4">
      <c r="A22" s="235" t="s">
        <v>232</v>
      </c>
      <c r="B22" s="236"/>
      <c r="C22" s="236"/>
      <c r="D22" s="236"/>
      <c r="E22" s="236"/>
      <c r="F22" s="236"/>
      <c r="G22" s="237"/>
    </row>
    <row r="23" spans="1:7" ht="17" thickBot="1" x14ac:dyDescent="0.4">
      <c r="A23" s="132" t="s">
        <v>225</v>
      </c>
      <c r="B23" s="129" t="s">
        <v>10</v>
      </c>
      <c r="C23" s="129" t="s">
        <v>5</v>
      </c>
      <c r="D23" s="129" t="s">
        <v>4</v>
      </c>
      <c r="E23" s="129" t="s">
        <v>3</v>
      </c>
      <c r="F23" s="129" t="s">
        <v>2</v>
      </c>
      <c r="G23" s="125" t="s">
        <v>1</v>
      </c>
    </row>
    <row r="24" spans="1:7" x14ac:dyDescent="0.35">
      <c r="A24" s="133" t="s">
        <v>36</v>
      </c>
      <c r="B24" s="136">
        <f>'Balance sheet'!B32</f>
        <v>182372</v>
      </c>
      <c r="C24" s="136">
        <f>'Balance sheet'!C32</f>
        <v>159629</v>
      </c>
      <c r="D24" s="136">
        <f>'Balance sheet'!D32</f>
        <v>174158</v>
      </c>
      <c r="E24" s="136">
        <f>'Balance sheet'!E32</f>
        <v>152700</v>
      </c>
      <c r="F24" s="136">
        <f>'Balance sheet'!F32</f>
        <v>149627</v>
      </c>
      <c r="G24" s="28">
        <f>'Balance sheet'!G32</f>
        <v>128035</v>
      </c>
    </row>
    <row r="25" spans="1:7" x14ac:dyDescent="0.35">
      <c r="A25" s="133" t="s">
        <v>30</v>
      </c>
      <c r="B25" s="136">
        <f>'Balance sheet'!B30</f>
        <v>135705</v>
      </c>
      <c r="C25" s="136">
        <f>'Balance sheet'!C30</f>
        <v>123011</v>
      </c>
      <c r="D25" s="136">
        <f>'Balance sheet'!D30</f>
        <v>113610</v>
      </c>
      <c r="E25" s="136">
        <f>'Balance sheet'!E30</f>
        <v>92784</v>
      </c>
      <c r="F25" s="136">
        <f>'Balance sheet'!F30</f>
        <v>94192</v>
      </c>
      <c r="G25" s="28">
        <f>'Balance sheet'!G30</f>
        <v>83160</v>
      </c>
    </row>
    <row r="26" spans="1:7" x14ac:dyDescent="0.35">
      <c r="A26" s="133" t="s">
        <v>233</v>
      </c>
      <c r="B26" s="136">
        <f>'Balance sheet'!B18</f>
        <v>46667</v>
      </c>
      <c r="C26" s="136">
        <f>'Balance sheet'!C18</f>
        <v>36618</v>
      </c>
      <c r="D26" s="136">
        <f>'Balance sheet'!D18</f>
        <v>60548</v>
      </c>
      <c r="E26" s="136">
        <f>'Balance sheet'!E18</f>
        <v>59916</v>
      </c>
      <c r="F26" s="136">
        <f>'Balance sheet'!F18</f>
        <v>55435</v>
      </c>
      <c r="G26" s="28">
        <f>'Balance sheet'!G18</f>
        <v>44875</v>
      </c>
    </row>
    <row r="27" spans="1:7" x14ac:dyDescent="0.35">
      <c r="A27" s="133" t="s">
        <v>32</v>
      </c>
      <c r="B27" s="136">
        <f>'Balance sheet'!B24</f>
        <v>6417</v>
      </c>
      <c r="C27" s="136">
        <f>'Balance sheet'!C24</f>
        <v>8342</v>
      </c>
      <c r="D27" s="136">
        <f>'Balance sheet'!D24</f>
        <v>4907</v>
      </c>
      <c r="E27" s="136">
        <f>'Balance sheet'!E24</f>
        <v>1462</v>
      </c>
      <c r="F27" s="136">
        <f>'Balance sheet'!F24</f>
        <v>8197</v>
      </c>
      <c r="G27" s="28">
        <f>'Balance sheet'!G24</f>
        <v>1112</v>
      </c>
    </row>
    <row r="28" spans="1:7" x14ac:dyDescent="0.35">
      <c r="A28" s="133" t="s">
        <v>234</v>
      </c>
      <c r="B28" s="136">
        <f>'Balance sheet'!B12</f>
        <v>213</v>
      </c>
      <c r="C28" s="136">
        <f>'Balance sheet'!C12</f>
        <v>129</v>
      </c>
      <c r="D28" s="136">
        <f>'Balance sheet'!D12</f>
        <v>2530</v>
      </c>
      <c r="E28" s="136">
        <f>'Balance sheet'!E12</f>
        <v>2215</v>
      </c>
      <c r="F28" s="136">
        <f>'Balance sheet'!F12</f>
        <v>1588</v>
      </c>
      <c r="G28" s="28">
        <f>'Balance sheet'!G12</f>
        <v>1221</v>
      </c>
    </row>
    <row r="29" spans="1:7" x14ac:dyDescent="0.35">
      <c r="A29" s="133" t="s">
        <v>235</v>
      </c>
      <c r="B29" s="136">
        <f>'Balance sheet'!B6</f>
        <v>11032</v>
      </c>
      <c r="C29" s="136">
        <f>'Balance sheet'!C6</f>
        <v>10978</v>
      </c>
      <c r="D29" s="136">
        <f>'Balance sheet'!D6</f>
        <v>11648</v>
      </c>
      <c r="E29" s="136">
        <f>'Balance sheet'!E6</f>
        <v>10467</v>
      </c>
      <c r="F29" s="136">
        <f>'Balance sheet'!F6</f>
        <v>9634</v>
      </c>
      <c r="G29" s="28">
        <f>'Balance sheet'!G6</f>
        <v>8702</v>
      </c>
    </row>
    <row r="30" spans="1:7" ht="17" thickBot="1" x14ac:dyDescent="0.4">
      <c r="A30" s="134" t="s">
        <v>26</v>
      </c>
      <c r="B30" s="131">
        <f>'Balance sheet'!B9</f>
        <v>9108</v>
      </c>
      <c r="C30" s="131">
        <f>'Balance sheet'!C9</f>
        <v>1860</v>
      </c>
      <c r="D30" s="131">
        <f>'Balance sheet'!D9</f>
        <v>5755</v>
      </c>
      <c r="E30" s="131">
        <f>'Balance sheet'!E9</f>
        <v>5571</v>
      </c>
      <c r="F30" s="131">
        <f>'Balance sheet'!F9</f>
        <v>5298</v>
      </c>
      <c r="G30" s="120">
        <f>'Balance sheet'!G9</f>
        <v>4947</v>
      </c>
    </row>
    <row r="31" spans="1:7" x14ac:dyDescent="0.35">
      <c r="A31" s="192"/>
      <c r="B31" s="193"/>
      <c r="C31" s="193"/>
      <c r="D31" s="193"/>
      <c r="E31" s="193"/>
      <c r="F31" s="193"/>
      <c r="G31" s="194"/>
    </row>
    <row r="32" spans="1:7" ht="25.5" thickBot="1" x14ac:dyDescent="0.4">
      <c r="A32" s="235" t="s">
        <v>236</v>
      </c>
      <c r="B32" s="236"/>
      <c r="C32" s="236"/>
      <c r="D32" s="236"/>
      <c r="E32" s="236"/>
      <c r="F32" s="236"/>
      <c r="G32" s="237"/>
    </row>
    <row r="33" spans="1:7" ht="17" thickBot="1" x14ac:dyDescent="0.4">
      <c r="A33" s="132" t="s">
        <v>225</v>
      </c>
      <c r="B33" s="129" t="s">
        <v>10</v>
      </c>
      <c r="C33" s="129" t="s">
        <v>5</v>
      </c>
      <c r="D33" s="129" t="s">
        <v>4</v>
      </c>
      <c r="E33" s="129" t="s">
        <v>3</v>
      </c>
      <c r="F33" s="129" t="s">
        <v>2</v>
      </c>
      <c r="G33" s="125" t="s">
        <v>1</v>
      </c>
    </row>
    <row r="34" spans="1:7" x14ac:dyDescent="0.35">
      <c r="A34" s="133" t="s">
        <v>49</v>
      </c>
      <c r="B34" s="136">
        <f>'Balance sheet'!B57</f>
        <v>73894</v>
      </c>
      <c r="C34" s="136">
        <f>'Balance sheet'!C57</f>
        <v>63858</v>
      </c>
      <c r="D34" s="136">
        <f>'Balance sheet'!D57</f>
        <v>78780</v>
      </c>
      <c r="E34" s="136">
        <f>'Balance sheet'!E57</f>
        <v>67888</v>
      </c>
      <c r="F34" s="136">
        <f>'Balance sheet'!F57</f>
        <v>63702</v>
      </c>
      <c r="G34" s="28">
        <f>'Balance sheet'!G57</f>
        <v>55879</v>
      </c>
    </row>
    <row r="35" spans="1:7" x14ac:dyDescent="0.35">
      <c r="A35" s="133" t="s">
        <v>237</v>
      </c>
      <c r="B35" s="136">
        <f>'Balance sheet'!B55</f>
        <v>60914</v>
      </c>
      <c r="C35" s="136">
        <f>'Balance sheet'!C55</f>
        <v>53001</v>
      </c>
      <c r="D35" s="136">
        <f>'Balance sheet'!D55</f>
        <v>72921</v>
      </c>
      <c r="E35" s="136">
        <f>'Balance sheet'!E55</f>
        <v>61965</v>
      </c>
      <c r="F35" s="136">
        <f>'Balance sheet'!F55</f>
        <v>57871</v>
      </c>
      <c r="G35" s="28">
        <f>'Balance sheet'!G55</f>
        <v>50269</v>
      </c>
    </row>
    <row r="36" spans="1:7" x14ac:dyDescent="0.35">
      <c r="A36" s="133" t="s">
        <v>41</v>
      </c>
      <c r="B36" s="136">
        <f>'Balance sheet'!B47</f>
        <v>12980</v>
      </c>
      <c r="C36" s="136">
        <f>'Balance sheet'!C47</f>
        <v>10857</v>
      </c>
      <c r="D36" s="136">
        <f>'Balance sheet'!D47</f>
        <v>5859</v>
      </c>
      <c r="E36" s="136">
        <f>'Balance sheet'!E47</f>
        <v>5923</v>
      </c>
      <c r="F36" s="136">
        <f>'Balance sheet'!F47</f>
        <v>5831</v>
      </c>
      <c r="G36" s="28">
        <f>'Balance sheet'!G47</f>
        <v>5610</v>
      </c>
    </row>
    <row r="37" spans="1:7" x14ac:dyDescent="0.35">
      <c r="A37" s="133" t="s">
        <v>43</v>
      </c>
      <c r="B37" s="136">
        <f>'Balance sheet'!B44+'Balance sheet'!B52</f>
        <v>11283</v>
      </c>
      <c r="C37" s="136">
        <f>'Balance sheet'!C44+'Balance sheet'!C52</f>
        <v>9392</v>
      </c>
      <c r="D37" s="136">
        <f>'Balance sheet'!D44+'Balance sheet'!D52</f>
        <v>5604</v>
      </c>
      <c r="E37" s="136">
        <f>'Balance sheet'!E44+'Balance sheet'!E52</f>
        <v>5364</v>
      </c>
      <c r="F37" s="136">
        <f>'Balance sheet'!F44+'Balance sheet'!F52</f>
        <v>5335</v>
      </c>
      <c r="G37" s="28">
        <f>'Balance sheet'!G44+'Balance sheet'!G52</f>
        <v>5406</v>
      </c>
    </row>
    <row r="38" spans="1:7" ht="17" thickBot="1" x14ac:dyDescent="0.4">
      <c r="A38" s="134" t="s">
        <v>46</v>
      </c>
      <c r="B38" s="131">
        <f>'Balance sheet'!B50</f>
        <v>14808</v>
      </c>
      <c r="C38" s="131">
        <f>'Balance sheet'!C50</f>
        <v>13909</v>
      </c>
      <c r="D38" s="131">
        <f>'Balance sheet'!D50</f>
        <v>8369</v>
      </c>
      <c r="E38" s="131">
        <f>'Balance sheet'!E50</f>
        <v>8158</v>
      </c>
      <c r="F38" s="131">
        <f>'Balance sheet'!F50</f>
        <v>7466</v>
      </c>
      <c r="G38" s="120">
        <f>'Balance sheet'!G50</f>
        <v>6313</v>
      </c>
    </row>
    <row r="39" spans="1:7" x14ac:dyDescent="0.35">
      <c r="A39" s="192"/>
      <c r="B39" s="193"/>
      <c r="C39" s="193"/>
      <c r="D39" s="193"/>
      <c r="E39" s="193"/>
      <c r="F39" s="193"/>
      <c r="G39" s="194"/>
    </row>
    <row r="40" spans="1:7" ht="25.5" thickBot="1" x14ac:dyDescent="0.4">
      <c r="A40" s="235" t="s">
        <v>238</v>
      </c>
      <c r="B40" s="236"/>
      <c r="C40" s="236"/>
      <c r="D40" s="236"/>
      <c r="E40" s="236"/>
      <c r="F40" s="236"/>
      <c r="G40" s="237"/>
    </row>
    <row r="41" spans="1:7" ht="17" thickBot="1" x14ac:dyDescent="0.4">
      <c r="A41" s="132" t="s">
        <v>225</v>
      </c>
      <c r="B41" s="129" t="s">
        <v>10</v>
      </c>
      <c r="C41" s="129" t="s">
        <v>5</v>
      </c>
      <c r="D41" s="129" t="s">
        <v>4</v>
      </c>
      <c r="E41" s="129" t="s">
        <v>3</v>
      </c>
      <c r="F41" s="129" t="s">
        <v>2</v>
      </c>
      <c r="G41" s="125" t="s">
        <v>1</v>
      </c>
    </row>
    <row r="42" spans="1:7" x14ac:dyDescent="0.35">
      <c r="A42" s="133" t="s">
        <v>40</v>
      </c>
      <c r="B42" s="136">
        <f>'Balance sheet'!B39</f>
        <v>108478</v>
      </c>
      <c r="C42" s="136">
        <f>'Balance sheet'!C39</f>
        <v>95771</v>
      </c>
      <c r="D42" s="136">
        <f>'Balance sheet'!D39</f>
        <v>156916</v>
      </c>
      <c r="E42" s="136">
        <f>'Balance sheet'!E39</f>
        <v>136812</v>
      </c>
      <c r="F42" s="136">
        <f>'Balance sheet'!F39</f>
        <v>127925</v>
      </c>
      <c r="G42" s="28">
        <f>'Balance sheet'!G39</f>
        <v>115156</v>
      </c>
    </row>
    <row r="43" spans="1:7" x14ac:dyDescent="0.35">
      <c r="A43" s="133" t="s">
        <v>243</v>
      </c>
      <c r="B43" s="136">
        <f>'Balance sheet'!B37</f>
        <v>362</v>
      </c>
      <c r="C43" s="136">
        <f>'Balance sheet'!C37</f>
        <v>362</v>
      </c>
      <c r="D43" s="136">
        <f>'Balance sheet'!D37</f>
        <v>362</v>
      </c>
      <c r="E43" s="136">
        <f>'Balance sheet'!E37</f>
        <v>362</v>
      </c>
      <c r="F43" s="136">
        <f>'Balance sheet'!F37</f>
        <v>362</v>
      </c>
      <c r="G43" s="28">
        <f>'Balance sheet'!G37</f>
        <v>362</v>
      </c>
    </row>
    <row r="44" spans="1:7" x14ac:dyDescent="0.35">
      <c r="A44" s="133" t="s">
        <v>39</v>
      </c>
      <c r="B44" s="136">
        <f>'Balance sheet'!B38</f>
        <v>106878</v>
      </c>
      <c r="C44" s="136">
        <f>'Balance sheet'!C38</f>
        <v>94394</v>
      </c>
      <c r="D44" s="136">
        <f>'Balance sheet'!D38</f>
        <v>156529</v>
      </c>
      <c r="E44" s="136">
        <f>'Balance sheet'!E38</f>
        <v>136431</v>
      </c>
      <c r="F44" s="136">
        <f>'Balance sheet'!F38</f>
        <v>127547</v>
      </c>
      <c r="G44" s="28">
        <f>'Balance sheet'!G38</f>
        <v>114778</v>
      </c>
    </row>
    <row r="45" spans="1:7" ht="17" thickBot="1" x14ac:dyDescent="0.4">
      <c r="A45" s="134" t="s">
        <v>244</v>
      </c>
      <c r="B45" s="131">
        <f>'Balance sheet'!B39</f>
        <v>108478</v>
      </c>
      <c r="C45" s="131">
        <f>'Balance sheet'!C39</f>
        <v>95771</v>
      </c>
      <c r="D45" s="131">
        <f>'Balance sheet'!D39</f>
        <v>156916</v>
      </c>
      <c r="E45" s="131">
        <f>'Balance sheet'!E39</f>
        <v>136812</v>
      </c>
      <c r="F45" s="131">
        <f>'Balance sheet'!F39</f>
        <v>127925</v>
      </c>
      <c r="G45" s="120">
        <f>'Balance sheet'!G39</f>
        <v>115156</v>
      </c>
    </row>
    <row r="46" spans="1:7" x14ac:dyDescent="0.35">
      <c r="A46" s="192"/>
      <c r="B46" s="193"/>
      <c r="C46" s="193"/>
      <c r="D46" s="193"/>
      <c r="E46" s="193"/>
      <c r="F46" s="193"/>
      <c r="G46" s="194"/>
    </row>
    <row r="47" spans="1:7" ht="25.5" thickBot="1" x14ac:dyDescent="0.4">
      <c r="A47" s="235" t="s">
        <v>239</v>
      </c>
      <c r="B47" s="236"/>
      <c r="C47" s="236"/>
      <c r="D47" s="236"/>
      <c r="E47" s="236"/>
      <c r="F47" s="236"/>
      <c r="G47" s="237"/>
    </row>
    <row r="48" spans="1:7" ht="17" thickBot="1" x14ac:dyDescent="0.4">
      <c r="A48" s="132" t="s">
        <v>225</v>
      </c>
      <c r="B48" s="129" t="s">
        <v>10</v>
      </c>
      <c r="C48" s="129" t="s">
        <v>5</v>
      </c>
      <c r="D48" s="129" t="s">
        <v>4</v>
      </c>
      <c r="E48" s="129" t="s">
        <v>3</v>
      </c>
      <c r="F48" s="129" t="s">
        <v>2</v>
      </c>
      <c r="G48" s="125" t="s">
        <v>1</v>
      </c>
    </row>
    <row r="49" spans="1:7" x14ac:dyDescent="0.35">
      <c r="A49" s="133" t="s">
        <v>240</v>
      </c>
      <c r="B49" s="136">
        <f>'Cash Flow'!B36</f>
        <v>52094</v>
      </c>
      <c r="C49" s="136">
        <f>'Cash Flow'!C36</f>
        <v>48908</v>
      </c>
      <c r="D49" s="136">
        <f>'Cash Flow'!D36</f>
        <v>44338</v>
      </c>
      <c r="E49" s="136">
        <f>'Cash Flow'!E36</f>
        <v>41965</v>
      </c>
      <c r="F49" s="136">
        <f>'Cash Flow'!F36</f>
        <v>39949</v>
      </c>
      <c r="G49" s="28">
        <f>'Cash Flow'!G36</f>
        <v>38802</v>
      </c>
    </row>
    <row r="50" spans="1:7" x14ac:dyDescent="0.35">
      <c r="A50" s="133" t="s">
        <v>241</v>
      </c>
      <c r="B50" s="136">
        <f>'Cash Flow'!B63</f>
        <v>-12845</v>
      </c>
      <c r="C50" s="136">
        <f>'Cash Flow'!C63</f>
        <v>-2318</v>
      </c>
      <c r="D50" s="136">
        <f>'Cash Flow'!D63</f>
        <v>6019</v>
      </c>
      <c r="E50" s="136">
        <f>'Cash Flow'!E63</f>
        <v>39</v>
      </c>
      <c r="F50" s="136">
        <f>'Cash Flow'!F63</f>
        <v>-897</v>
      </c>
      <c r="G50" s="28">
        <f>'Cash Flow'!G63</f>
        <v>-8129</v>
      </c>
    </row>
    <row r="51" spans="1:7" x14ac:dyDescent="0.35">
      <c r="A51" s="133" t="s">
        <v>242</v>
      </c>
      <c r="B51" s="136">
        <f>'Cash Flow'!B77</f>
        <v>-42133</v>
      </c>
      <c r="C51" s="136">
        <f>'Cash Flow'!C77</f>
        <v>-47438</v>
      </c>
      <c r="D51" s="136">
        <f>'Cash Flow'!D77</f>
        <v>-45082</v>
      </c>
      <c r="E51" s="136">
        <f>'Cash Flow'!E77</f>
        <v>-43819</v>
      </c>
      <c r="F51" s="136">
        <f>'Cash Flow'!F77</f>
        <v>-40546</v>
      </c>
      <c r="G51" s="28">
        <f>'Cash Flow'!G77</f>
        <v>-34947</v>
      </c>
    </row>
    <row r="52" spans="1:7" ht="17" thickBot="1" x14ac:dyDescent="0.4">
      <c r="A52" s="134" t="s">
        <v>176</v>
      </c>
      <c r="B52" s="131">
        <f>'Cash Flow'!B36+'Cash Flow'!B45</f>
        <v>48424</v>
      </c>
      <c r="C52" s="131">
        <f>'Cash Flow'!C36+'Cash Flow'!C45</f>
        <v>45991</v>
      </c>
      <c r="D52" s="131">
        <f>'Cash Flow'!D36+'Cash Flow'!D45</f>
        <v>42136</v>
      </c>
      <c r="E52" s="131">
        <f>'Cash Flow'!E36+'Cash Flow'!E45</f>
        <v>39433</v>
      </c>
      <c r="F52" s="131">
        <f>'Cash Flow'!F36+'Cash Flow'!F45</f>
        <v>37466</v>
      </c>
      <c r="G52" s="120">
        <f>'Cash Flow'!G36+'Cash Flow'!G45</f>
        <v>36083</v>
      </c>
    </row>
  </sheetData>
  <mergeCells count="15">
    <mergeCell ref="A1:G2"/>
    <mergeCell ref="A46:G46"/>
    <mergeCell ref="A39:G39"/>
    <mergeCell ref="A31:G31"/>
    <mergeCell ref="A21:G21"/>
    <mergeCell ref="A14:G14"/>
    <mergeCell ref="A8:G8"/>
    <mergeCell ref="A3:G3"/>
    <mergeCell ref="A4:G4"/>
    <mergeCell ref="A9:G9"/>
    <mergeCell ref="A47:G47"/>
    <mergeCell ref="A40:G40"/>
    <mergeCell ref="A32:G32"/>
    <mergeCell ref="A22:G22"/>
    <mergeCell ref="A15:G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DB6A-57DC-4743-A074-320E658C3880}">
  <dimension ref="A1:A4"/>
  <sheetViews>
    <sheetView tabSelected="1" zoomScale="37" workbookViewId="0">
      <selection activeCell="AC33" sqref="AC33"/>
    </sheetView>
  </sheetViews>
  <sheetFormatPr defaultRowHeight="17" x14ac:dyDescent="0.35"/>
  <cols>
    <col min="1" max="19" width="8.7265625" style="161"/>
    <col min="20" max="20" width="5.36328125" style="161" customWidth="1"/>
    <col min="21" max="16384" width="8.7265625" style="161"/>
  </cols>
  <sheetData>
    <row r="1" spans="1:1" ht="14.5" customHeight="1" x14ac:dyDescent="0.35">
      <c r="A1" s="161" t="s">
        <v>648</v>
      </c>
    </row>
    <row r="2" spans="1:1" ht="20" customHeight="1" x14ac:dyDescent="0.35"/>
    <row r="3" spans="1:1" ht="17" customHeight="1" x14ac:dyDescent="0.35"/>
    <row r="4" spans="1:1" ht="14.5" customHeight="1"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DAD2-913B-437B-A72C-2D348A07C497}">
  <dimension ref="A3:K52"/>
  <sheetViews>
    <sheetView zoomScale="84" zoomScaleNormal="46" workbookViewId="0">
      <selection activeCell="H18" sqref="H18"/>
    </sheetView>
  </sheetViews>
  <sheetFormatPr defaultRowHeight="14.5" x14ac:dyDescent="0.35"/>
  <cols>
    <col min="1" max="1" width="12.36328125" bestFit="1" customWidth="1"/>
    <col min="2" max="2" width="16.1796875" customWidth="1"/>
    <col min="3" max="3" width="17.453125" customWidth="1"/>
    <col min="4" max="4" width="16.54296875" customWidth="1"/>
    <col min="5" max="5" width="14" customWidth="1"/>
    <col min="6" max="6" width="13" customWidth="1"/>
    <col min="7" max="7" width="14.90625" customWidth="1"/>
    <col min="8" max="8" width="15.36328125" bestFit="1" customWidth="1"/>
    <col min="9" max="9" width="11" bestFit="1" customWidth="1"/>
    <col min="10" max="10" width="15" bestFit="1" customWidth="1"/>
    <col min="11" max="11" width="10.7265625" bestFit="1" customWidth="1"/>
    <col min="12" max="12" width="11" bestFit="1" customWidth="1"/>
  </cols>
  <sheetData>
    <row r="3" spans="1:11" x14ac:dyDescent="0.35">
      <c r="B3" s="155" t="s">
        <v>643</v>
      </c>
      <c r="H3" s="155" t="s">
        <v>643</v>
      </c>
    </row>
    <row r="4" spans="1:11" x14ac:dyDescent="0.35">
      <c r="A4" s="155" t="s">
        <v>644</v>
      </c>
      <c r="B4" t="s">
        <v>144</v>
      </c>
      <c r="C4" t="s">
        <v>150</v>
      </c>
      <c r="D4" t="s">
        <v>145</v>
      </c>
      <c r="E4" t="s">
        <v>636</v>
      </c>
      <c r="G4" s="155" t="s">
        <v>644</v>
      </c>
      <c r="H4" t="s">
        <v>181</v>
      </c>
      <c r="I4" t="s">
        <v>180</v>
      </c>
      <c r="J4" t="s">
        <v>143</v>
      </c>
      <c r="K4" t="s">
        <v>636</v>
      </c>
    </row>
    <row r="5" spans="1:11" x14ac:dyDescent="0.35">
      <c r="A5" s="156" t="s">
        <v>637</v>
      </c>
      <c r="B5" s="41">
        <v>0.25030990071941905</v>
      </c>
      <c r="C5" s="41">
        <v>0.27113223304534101</v>
      </c>
      <c r="D5" s="41">
        <v>0.19781215709625835</v>
      </c>
      <c r="E5">
        <v>0.71925429086101844</v>
      </c>
      <c r="G5" s="156" t="s">
        <v>637</v>
      </c>
      <c r="H5" s="39">
        <v>8.7935017512482394E-2</v>
      </c>
      <c r="I5" s="39">
        <v>8.7883343974625661E-2</v>
      </c>
      <c r="J5" s="39">
        <v>4.5812379564788272E-2</v>
      </c>
      <c r="K5" s="39">
        <v>0.22163074105189634</v>
      </c>
    </row>
    <row r="6" spans="1:11" x14ac:dyDescent="0.35">
      <c r="A6" s="156" t="s">
        <v>638</v>
      </c>
      <c r="B6" s="41">
        <v>0.24347495730914445</v>
      </c>
      <c r="C6" s="41">
        <v>0.26400573389105608</v>
      </c>
      <c r="D6" s="41">
        <v>0.1901623035828986</v>
      </c>
      <c r="E6">
        <v>0.6976429947830991</v>
      </c>
      <c r="G6" s="156" t="s">
        <v>638</v>
      </c>
      <c r="H6" s="39">
        <v>5.0493189290746851E-2</v>
      </c>
      <c r="I6" s="39">
        <v>4.2245357947837285E-2</v>
      </c>
      <c r="J6" s="39">
        <v>5.9906265437351856E-2</v>
      </c>
      <c r="K6" s="39">
        <v>0.15264481267593599</v>
      </c>
    </row>
    <row r="7" spans="1:11" x14ac:dyDescent="0.35">
      <c r="A7" s="156" t="s">
        <v>639</v>
      </c>
      <c r="B7" s="41">
        <v>0.24621304894704288</v>
      </c>
      <c r="C7" s="41">
        <v>0.26690688396923118</v>
      </c>
      <c r="D7" s="41">
        <v>0.19338461474596605</v>
      </c>
      <c r="E7">
        <v>0.70650454766224013</v>
      </c>
      <c r="G7" s="156" t="s">
        <v>639</v>
      </c>
      <c r="H7" s="39">
        <v>0.10895042972480248</v>
      </c>
      <c r="I7" s="39">
        <v>0.10529812323534296</v>
      </c>
      <c r="J7" s="39">
        <v>6.8460644554639891E-2</v>
      </c>
      <c r="K7" s="39">
        <v>0.28270919751478535</v>
      </c>
    </row>
    <row r="8" spans="1:11" x14ac:dyDescent="0.35">
      <c r="A8" s="156" t="s">
        <v>640</v>
      </c>
      <c r="B8" s="41">
        <v>0.24056365265370933</v>
      </c>
      <c r="C8" s="41">
        <v>0.26283831134845514</v>
      </c>
      <c r="D8" s="41">
        <v>0.18693947431450647</v>
      </c>
      <c r="E8">
        <v>0.69034143831667105</v>
      </c>
      <c r="G8" s="156" t="s">
        <v>640</v>
      </c>
      <c r="H8" s="39">
        <v>0.11165798108473261</v>
      </c>
      <c r="I8" s="39">
        <v>9.9668640905888797E-2</v>
      </c>
      <c r="J8" s="39">
        <v>0.17576686796624844</v>
      </c>
      <c r="K8" s="39">
        <v>0.38709348995686987</v>
      </c>
    </row>
    <row r="9" spans="1:11" x14ac:dyDescent="0.35">
      <c r="A9" s="156" t="s">
        <v>641</v>
      </c>
      <c r="B9" s="41">
        <v>0.25268312525423198</v>
      </c>
      <c r="C9" s="41">
        <v>0.27669305464292793</v>
      </c>
      <c r="D9" s="41">
        <v>0.19987588264130082</v>
      </c>
      <c r="E9">
        <v>0.72925206253846075</v>
      </c>
      <c r="G9" s="156" t="s">
        <v>641</v>
      </c>
      <c r="H9" s="39">
        <v>0.16074829169933919</v>
      </c>
      <c r="I9" s="39">
        <v>0.14792739906553254</v>
      </c>
      <c r="J9" s="39">
        <v>0.16797115308478044</v>
      </c>
      <c r="K9" s="39">
        <v>0.47664684384965217</v>
      </c>
    </row>
    <row r="10" spans="1:11" x14ac:dyDescent="0.35">
      <c r="A10" s="156" t="s">
        <v>642</v>
      </c>
      <c r="B10" s="41">
        <v>0.25875122581116722</v>
      </c>
      <c r="C10" s="41">
        <v>0.28351108864213626</v>
      </c>
      <c r="D10" s="41">
        <v>0.20336587950809187</v>
      </c>
      <c r="E10">
        <v>0.74562819396139535</v>
      </c>
    </row>
    <row r="12" spans="1:11" ht="15" thickBot="1" x14ac:dyDescent="0.4"/>
    <row r="13" spans="1:11" ht="18.5" customHeight="1" x14ac:dyDescent="0.35">
      <c r="A13" s="21" t="s">
        <v>0</v>
      </c>
      <c r="B13" s="137" t="s">
        <v>10</v>
      </c>
      <c r="C13" s="137" t="s">
        <v>5</v>
      </c>
      <c r="D13" s="138" t="s">
        <v>4</v>
      </c>
      <c r="E13" s="138" t="s">
        <v>3</v>
      </c>
      <c r="F13" s="138" t="s">
        <v>2</v>
      </c>
      <c r="G13" s="138" t="s">
        <v>1</v>
      </c>
    </row>
    <row r="14" spans="1:11" ht="33.5" thickBot="1" x14ac:dyDescent="0.4">
      <c r="A14" s="23" t="s">
        <v>233</v>
      </c>
      <c r="B14" s="142">
        <v>46667</v>
      </c>
      <c r="C14" s="142">
        <v>36618</v>
      </c>
      <c r="D14" s="142">
        <v>60548</v>
      </c>
      <c r="E14" s="142">
        <v>59916</v>
      </c>
      <c r="F14" s="142">
        <v>55435</v>
      </c>
      <c r="G14" s="142">
        <v>44875</v>
      </c>
    </row>
    <row r="15" spans="1:11" ht="24" customHeight="1" thickBot="1" x14ac:dyDescent="0.4">
      <c r="A15" s="25" t="s">
        <v>30</v>
      </c>
      <c r="B15" s="144">
        <v>135705</v>
      </c>
      <c r="C15" s="144">
        <v>123011</v>
      </c>
      <c r="D15" s="144">
        <v>113610</v>
      </c>
      <c r="E15" s="144">
        <v>92784</v>
      </c>
      <c r="F15" s="144">
        <v>94192</v>
      </c>
      <c r="G15" s="144">
        <v>83160</v>
      </c>
    </row>
    <row r="16" spans="1:11" ht="17" thickBot="1" x14ac:dyDescent="0.4">
      <c r="A16" s="23" t="s">
        <v>37</v>
      </c>
      <c r="B16" s="142">
        <v>108478</v>
      </c>
      <c r="C16" s="142">
        <v>95771</v>
      </c>
      <c r="D16" s="142">
        <v>156916</v>
      </c>
      <c r="E16" s="142">
        <v>136812</v>
      </c>
      <c r="F16" s="142">
        <v>127925</v>
      </c>
      <c r="G16" s="142">
        <v>115156</v>
      </c>
    </row>
    <row r="17" spans="1:7" ht="33.5" thickBot="1" x14ac:dyDescent="0.4">
      <c r="A17" s="25" t="s">
        <v>41</v>
      </c>
      <c r="B17" s="144">
        <v>12980</v>
      </c>
      <c r="C17" s="144">
        <v>10857</v>
      </c>
      <c r="D17" s="144">
        <v>5859</v>
      </c>
      <c r="E17" s="144">
        <v>5923</v>
      </c>
      <c r="F17" s="144">
        <v>5831</v>
      </c>
      <c r="G17" s="144">
        <v>5610</v>
      </c>
    </row>
    <row r="18" spans="1:7" ht="33.5" thickBot="1" x14ac:dyDescent="0.4">
      <c r="A18" s="23" t="s">
        <v>45</v>
      </c>
      <c r="B18" s="142">
        <v>60914</v>
      </c>
      <c r="C18" s="142">
        <v>53001</v>
      </c>
      <c r="D18" s="142">
        <v>72921</v>
      </c>
      <c r="E18" s="142">
        <v>61965</v>
      </c>
      <c r="F18" s="142">
        <v>57871</v>
      </c>
      <c r="G18" s="142">
        <v>50269</v>
      </c>
    </row>
    <row r="19" spans="1:7" ht="15" thickBot="1" x14ac:dyDescent="0.4"/>
    <row r="20" spans="1:7" ht="16.5" x14ac:dyDescent="0.35">
      <c r="A20" s="21" t="s">
        <v>0</v>
      </c>
      <c r="B20" s="137" t="s">
        <v>10</v>
      </c>
      <c r="C20" s="137" t="s">
        <v>5</v>
      </c>
      <c r="D20" s="138" t="s">
        <v>4</v>
      </c>
      <c r="E20" s="138" t="s">
        <v>3</v>
      </c>
      <c r="F20" s="138" t="s">
        <v>2</v>
      </c>
      <c r="G20" s="138" t="s">
        <v>1</v>
      </c>
    </row>
    <row r="21" spans="1:7" ht="17" thickBot="1" x14ac:dyDescent="0.4">
      <c r="A21" s="108" t="s">
        <v>645</v>
      </c>
      <c r="B21" s="106">
        <f>'Cash Flow'!B36</f>
        <v>52094</v>
      </c>
      <c r="C21" s="106">
        <f>'Cash Flow'!C36</f>
        <v>48908</v>
      </c>
      <c r="D21" s="106">
        <f>'Cash Flow'!D36</f>
        <v>44338</v>
      </c>
      <c r="E21" s="106">
        <f>'Cash Flow'!E36</f>
        <v>41965</v>
      </c>
      <c r="F21" s="106">
        <f>'Cash Flow'!F36</f>
        <v>39949</v>
      </c>
      <c r="G21" s="106">
        <f>'Cash Flow'!G36</f>
        <v>38802</v>
      </c>
    </row>
    <row r="22" spans="1:7" ht="17" thickBot="1" x14ac:dyDescent="0.4">
      <c r="A22" s="104" t="s">
        <v>646</v>
      </c>
      <c r="B22" s="105">
        <f>'Cash Flow'!B63</f>
        <v>-12845</v>
      </c>
      <c r="C22" s="105">
        <f>'Cash Flow'!C63</f>
        <v>-2318</v>
      </c>
      <c r="D22" s="105">
        <f>'Cash Flow'!D63</f>
        <v>6019</v>
      </c>
      <c r="E22" s="105">
        <f>'Cash Flow'!E63</f>
        <v>39</v>
      </c>
      <c r="F22" s="105">
        <f>'Cash Flow'!F63</f>
        <v>-897</v>
      </c>
      <c r="G22" s="105">
        <f>'Cash Flow'!G63</f>
        <v>-8129</v>
      </c>
    </row>
    <row r="23" spans="1:7" ht="17" thickBot="1" x14ac:dyDescent="0.4">
      <c r="A23" s="104" t="s">
        <v>647</v>
      </c>
      <c r="B23" s="105">
        <f>'Cash Flow'!B77</f>
        <v>-42133</v>
      </c>
      <c r="C23" s="105">
        <f>'Cash Flow'!C77</f>
        <v>-47438</v>
      </c>
      <c r="D23" s="105">
        <f>'Cash Flow'!D77</f>
        <v>-45082</v>
      </c>
      <c r="E23" s="105">
        <f>'Cash Flow'!E77</f>
        <v>-43819</v>
      </c>
      <c r="F23" s="105">
        <f>'Cash Flow'!F77</f>
        <v>-40546</v>
      </c>
      <c r="G23" s="105">
        <f>'Cash Flow'!G77</f>
        <v>-34947</v>
      </c>
    </row>
    <row r="25" spans="1:7" x14ac:dyDescent="0.35">
      <c r="B25" s="155" t="s">
        <v>643</v>
      </c>
    </row>
    <row r="26" spans="1:7" x14ac:dyDescent="0.35">
      <c r="A26" s="155" t="s">
        <v>644</v>
      </c>
      <c r="B26" t="s">
        <v>561</v>
      </c>
      <c r="C26" t="s">
        <v>562</v>
      </c>
      <c r="D26" t="s">
        <v>560</v>
      </c>
      <c r="E26" t="s">
        <v>636</v>
      </c>
    </row>
    <row r="27" spans="1:7" x14ac:dyDescent="0.35">
      <c r="A27" s="156" t="s">
        <v>637</v>
      </c>
      <c r="B27" s="39">
        <v>0.30888798570764414</v>
      </c>
      <c r="C27" s="39">
        <v>0.58607718141402809</v>
      </c>
      <c r="D27" s="39">
        <v>0.51721183457446551</v>
      </c>
      <c r="E27" s="39">
        <v>1.4121770016961377</v>
      </c>
    </row>
    <row r="28" spans="1:7" x14ac:dyDescent="0.35">
      <c r="A28" s="156" t="s">
        <v>638</v>
      </c>
      <c r="B28" s="39">
        <v>0.29092205508303198</v>
      </c>
      <c r="C28" s="39">
        <v>0.59812859307723765</v>
      </c>
      <c r="D28" s="39">
        <v>0.38429361225547815</v>
      </c>
      <c r="E28" s="39">
        <v>1.2733442604157477</v>
      </c>
    </row>
    <row r="29" spans="1:7" x14ac:dyDescent="0.35">
      <c r="A29" s="156" t="s">
        <v>639</v>
      </c>
      <c r="B29" s="39">
        <v>0.28504732942133892</v>
      </c>
      <c r="C29" s="39">
        <v>0.6179130289833934</v>
      </c>
      <c r="D29" s="39">
        <v>0.31719822420742999</v>
      </c>
      <c r="E29" s="39">
        <v>1.2201585826121624</v>
      </c>
    </row>
    <row r="30" spans="1:7" x14ac:dyDescent="0.35">
      <c r="A30" s="156" t="s">
        <v>640</v>
      </c>
      <c r="B30" s="39">
        <v>0.27881730708802061</v>
      </c>
      <c r="C30" s="39">
        <v>0.59440739543319943</v>
      </c>
      <c r="D30" s="39">
        <v>0.31840656953882535</v>
      </c>
      <c r="E30" s="39">
        <v>1.1916312720600455</v>
      </c>
    </row>
    <row r="31" spans="1:7" x14ac:dyDescent="0.35">
      <c r="A31" s="156" t="s">
        <v>641</v>
      </c>
      <c r="B31" s="39">
        <v>0.27606946575332597</v>
      </c>
      <c r="C31" s="39">
        <v>0.57164261865716548</v>
      </c>
      <c r="D31" s="39">
        <v>0.31534344518905222</v>
      </c>
      <c r="E31" s="39">
        <v>1.1630555295995437</v>
      </c>
    </row>
    <row r="32" spans="1:7" x14ac:dyDescent="0.35">
      <c r="A32" s="156" t="s">
        <v>642</v>
      </c>
      <c r="B32" s="39">
        <v>0.26077244503456087</v>
      </c>
      <c r="C32" s="39">
        <v>1.0925340122932901</v>
      </c>
      <c r="D32" s="39">
        <v>0.28993712876445865</v>
      </c>
      <c r="E32" s="39">
        <v>1.6432435860923098</v>
      </c>
    </row>
    <row r="34" spans="1:7" x14ac:dyDescent="0.35">
      <c r="A34" s="155" t="s">
        <v>635</v>
      </c>
      <c r="B34" t="s">
        <v>642</v>
      </c>
      <c r="C34" t="s">
        <v>641</v>
      </c>
      <c r="D34" t="s">
        <v>640</v>
      </c>
      <c r="E34" t="s">
        <v>639</v>
      </c>
      <c r="F34" t="s">
        <v>638</v>
      </c>
      <c r="G34" t="s">
        <v>637</v>
      </c>
    </row>
    <row r="35" spans="1:7" x14ac:dyDescent="0.35">
      <c r="A35" s="156" t="s">
        <v>165</v>
      </c>
      <c r="B35" s="40">
        <v>0.43643534970906395</v>
      </c>
      <c r="C35" s="40">
        <v>0.42573867015979738</v>
      </c>
      <c r="D35" s="40">
        <v>0.4445841519318926</v>
      </c>
      <c r="E35" s="40">
        <v>0.45234786802788274</v>
      </c>
      <c r="F35" s="40">
        <v>0.40004009296556392</v>
      </c>
      <c r="G35" s="40">
        <v>0.40518281315114163</v>
      </c>
    </row>
    <row r="36" spans="1:7" x14ac:dyDescent="0.35">
      <c r="A36" s="156" t="s">
        <v>166</v>
      </c>
      <c r="B36" s="40">
        <v>0.89941031749131095</v>
      </c>
      <c r="C36" s="40">
        <v>0.85495933220608578</v>
      </c>
      <c r="D36" s="40">
        <v>0.89595284872298619</v>
      </c>
      <c r="E36" s="40">
        <v>0.90099794439531922</v>
      </c>
      <c r="F36" s="40">
        <v>0.59995990703443614</v>
      </c>
      <c r="G36" s="40">
        <v>0.59481718684885843</v>
      </c>
    </row>
    <row r="37" spans="1:7" x14ac:dyDescent="0.35">
      <c r="A37" s="156" t="s">
        <v>636</v>
      </c>
      <c r="B37" s="40">
        <v>1.3358456672003749</v>
      </c>
      <c r="C37" s="40">
        <v>1.2806980023658832</v>
      </c>
      <c r="D37" s="40">
        <v>1.3405370006548787</v>
      </c>
      <c r="E37" s="40">
        <v>1.3533458124232021</v>
      </c>
      <c r="F37" s="40">
        <v>1</v>
      </c>
      <c r="G37" s="40">
        <v>1</v>
      </c>
    </row>
    <row r="40" spans="1:7" x14ac:dyDescent="0.35">
      <c r="B40" s="155" t="s">
        <v>643</v>
      </c>
    </row>
    <row r="41" spans="1:7" x14ac:dyDescent="0.35">
      <c r="A41" s="155" t="s">
        <v>644</v>
      </c>
      <c r="B41" t="s">
        <v>649</v>
      </c>
      <c r="C41" t="s">
        <v>650</v>
      </c>
      <c r="D41" t="s">
        <v>651</v>
      </c>
      <c r="E41" t="s">
        <v>636</v>
      </c>
    </row>
    <row r="42" spans="1:7" x14ac:dyDescent="0.35">
      <c r="A42" s="156" t="s">
        <v>637</v>
      </c>
      <c r="B42" s="39">
        <v>0.30888798570764414</v>
      </c>
      <c r="C42" s="39">
        <v>0.58607718141402809</v>
      </c>
      <c r="D42" s="39">
        <v>0.51721183457446551</v>
      </c>
      <c r="E42" s="39">
        <v>1.4121770016961377</v>
      </c>
    </row>
    <row r="43" spans="1:7" x14ac:dyDescent="0.35">
      <c r="A43" s="156" t="s">
        <v>638</v>
      </c>
      <c r="B43" s="39">
        <v>0.29092205508303198</v>
      </c>
      <c r="C43" s="39">
        <v>0.59812859307723765</v>
      </c>
      <c r="D43" s="39">
        <v>0.38429361225547815</v>
      </c>
      <c r="E43" s="39">
        <v>1.2733442604157477</v>
      </c>
    </row>
    <row r="44" spans="1:7" x14ac:dyDescent="0.35">
      <c r="A44" s="156" t="s">
        <v>639</v>
      </c>
      <c r="B44" s="39">
        <v>0.28504732942133892</v>
      </c>
      <c r="C44" s="39">
        <v>0.6179130289833934</v>
      </c>
      <c r="D44" s="39">
        <v>0.31719822420742999</v>
      </c>
      <c r="E44" s="39">
        <v>1.2201585826121624</v>
      </c>
    </row>
    <row r="45" spans="1:7" x14ac:dyDescent="0.35">
      <c r="A45" s="156" t="s">
        <v>640</v>
      </c>
      <c r="B45" s="39">
        <v>0.27881730708802061</v>
      </c>
      <c r="C45" s="39">
        <v>0.59440739543319943</v>
      </c>
      <c r="D45" s="39">
        <v>0.31840656953882535</v>
      </c>
      <c r="E45" s="39">
        <v>1.1916312720600455</v>
      </c>
    </row>
    <row r="46" spans="1:7" x14ac:dyDescent="0.35">
      <c r="A46" s="156" t="s">
        <v>641</v>
      </c>
      <c r="B46" s="39">
        <v>0.27606946575332597</v>
      </c>
      <c r="C46" s="39">
        <v>0.57164261865716548</v>
      </c>
      <c r="D46" s="39">
        <v>0.31534344518905222</v>
      </c>
      <c r="E46" s="39">
        <v>1.1630555295995437</v>
      </c>
    </row>
    <row r="47" spans="1:7" x14ac:dyDescent="0.35">
      <c r="A47" s="156" t="s">
        <v>642</v>
      </c>
      <c r="B47" s="39">
        <v>0.26077244503456087</v>
      </c>
      <c r="C47" s="39">
        <v>1.0925340122932901</v>
      </c>
      <c r="D47" s="39">
        <v>0.28993712876445865</v>
      </c>
      <c r="E47" s="39">
        <v>1.6432435860923098</v>
      </c>
    </row>
    <row r="49" spans="1:7" x14ac:dyDescent="0.35">
      <c r="A49" s="155" t="s">
        <v>635</v>
      </c>
      <c r="B49" t="s">
        <v>637</v>
      </c>
      <c r="C49" t="s">
        <v>638</v>
      </c>
      <c r="D49" t="s">
        <v>639</v>
      </c>
      <c r="E49" t="s">
        <v>640</v>
      </c>
      <c r="F49" t="s">
        <v>641</v>
      </c>
      <c r="G49" t="s">
        <v>642</v>
      </c>
    </row>
    <row r="50" spans="1:7" x14ac:dyDescent="0.35">
      <c r="A50" s="156" t="s">
        <v>162</v>
      </c>
      <c r="B50" s="39">
        <v>-28.880919709829627</v>
      </c>
      <c r="C50" s="39">
        <v>-23.691214526387398</v>
      </c>
      <c r="D50" s="39">
        <v>-21.458934922943172</v>
      </c>
      <c r="E50" s="39">
        <v>-20.181760271660167</v>
      </c>
      <c r="F50" s="39">
        <v>-21.438539510238641</v>
      </c>
      <c r="G50" s="39">
        <v>-23.742939531543911</v>
      </c>
    </row>
    <row r="51" spans="1:7" x14ac:dyDescent="0.35">
      <c r="A51" s="156" t="s">
        <v>159</v>
      </c>
      <c r="B51" s="39">
        <v>86.636257073413702</v>
      </c>
      <c r="C51" s="39">
        <v>73.760095016528027</v>
      </c>
      <c r="D51" s="39">
        <v>65.869338253913554</v>
      </c>
      <c r="E51" s="39">
        <v>63.866662526945149</v>
      </c>
      <c r="F51" s="39">
        <v>63.502964736068087</v>
      </c>
      <c r="G51" s="39">
        <v>68.07692307692308</v>
      </c>
    </row>
    <row r="52" spans="1:7" x14ac:dyDescent="0.35">
      <c r="A52" s="156" t="s">
        <v>636</v>
      </c>
      <c r="B52" s="39">
        <v>57.755337363584076</v>
      </c>
      <c r="C52" s="39">
        <v>50.068880490140629</v>
      </c>
      <c r="D52" s="39">
        <v>44.410403330970382</v>
      </c>
      <c r="E52" s="39">
        <v>43.684902255284982</v>
      </c>
      <c r="F52" s="39">
        <v>42.064425225829446</v>
      </c>
      <c r="G52" s="39">
        <v>44.333983545379169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Historical_IS</vt:lpstr>
      <vt:lpstr>Historical_BS</vt:lpstr>
      <vt:lpstr>Balance sheet</vt:lpstr>
      <vt:lpstr>Cash Flow</vt:lpstr>
      <vt:lpstr>Ratio analysis</vt:lpstr>
      <vt:lpstr>Trend Analysis</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B</dc:creator>
  <cp:lastModifiedBy>J B</cp:lastModifiedBy>
  <dcterms:created xsi:type="dcterms:W3CDTF">2026-07-22T11:12:32Z</dcterms:created>
  <dcterms:modified xsi:type="dcterms:W3CDTF">2026-07-24T07:26:26Z</dcterms:modified>
</cp:coreProperties>
</file>