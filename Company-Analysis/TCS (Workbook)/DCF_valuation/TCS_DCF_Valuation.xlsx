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sco\OneDrive\Documents\"/>
    </mc:Choice>
  </mc:AlternateContent>
  <xr:revisionPtr revIDLastSave="0" documentId="13_ncr:1_{69EF475D-E673-4FA8-B876-9E9AEE3C9979}" xr6:coauthVersionLast="47" xr6:coauthVersionMax="47" xr10:uidLastSave="{00000000-0000-0000-0000-000000000000}"/>
  <bookViews>
    <workbookView xWindow="-110" yWindow="-110" windowWidth="19420" windowHeight="10300" firstSheet="1" activeTab="3" xr2:uid="{53BAB7C8-5A99-4BDA-B829-19A85B84A2C2}"/>
  </bookViews>
  <sheets>
    <sheet name="Cover" sheetId="1" r:id="rId1"/>
    <sheet name="Assumptions" sheetId="2" r:id="rId2"/>
    <sheet name="Historical_Financials" sheetId="3" r:id="rId3"/>
    <sheet name="Forecast Assumptions" sheetId="4" r:id="rId4"/>
    <sheet name="Projected Financial statements" sheetId="5" r:id="rId5"/>
    <sheet name="FCFF" sheetId="6" r:id="rId6"/>
    <sheet name="CAPM &amp; WACC" sheetId="7" r:id="rId7"/>
    <sheet name="Terminal_value" sheetId="8" r:id="rId8"/>
    <sheet name="DCF_valuation" sheetId="9" r:id="rId9"/>
    <sheet name="Scenario Summary" sheetId="12" r:id="rId10"/>
    <sheet name="Sensitivity_Analysis" sheetId="10" r:id="rId11"/>
    <sheet name="Dashboard" sheetId="11" r:id="rId12"/>
  </sheets>
  <definedNames>
    <definedName name="_xlchart.v1.0" hidden="1">DCF_valuation!$A$5:$A$10</definedName>
    <definedName name="_xlchart.v1.1" hidden="1">DCF_valuation!$B$5:$B$10</definedName>
    <definedName name="Intrinsic_Value_Per_Share">DCF_valuation!$B$12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1" i="2" l="1"/>
  <c r="B70" i="2"/>
  <c r="B69" i="2"/>
  <c r="B68" i="2"/>
  <c r="B66" i="2"/>
  <c r="B61" i="2"/>
  <c r="B60" i="2"/>
  <c r="B59" i="2"/>
  <c r="B54" i="2"/>
  <c r="B50" i="2"/>
  <c r="B49" i="2"/>
  <c r="B48" i="2"/>
  <c r="B47" i="2"/>
  <c r="B46" i="2"/>
  <c r="B42" i="2"/>
  <c r="B41" i="2"/>
  <c r="B40" i="2"/>
  <c r="B39" i="2"/>
  <c r="B35" i="2"/>
  <c r="B34" i="2"/>
  <c r="B33" i="2"/>
  <c r="B32" i="2"/>
  <c r="B28" i="2"/>
  <c r="B27" i="2"/>
  <c r="B26" i="2"/>
  <c r="B22" i="2"/>
  <c r="B21" i="2"/>
  <c r="B20" i="2"/>
  <c r="B19" i="2"/>
  <c r="B18" i="2"/>
  <c r="B17" i="2"/>
  <c r="B16" i="2"/>
  <c r="B5" i="6" l="1"/>
  <c r="B39" i="3"/>
  <c r="V6" i="11"/>
  <c r="U6" i="11"/>
  <c r="T6" i="11"/>
  <c r="S6" i="11"/>
  <c r="W6" i="11"/>
  <c r="C7" i="3"/>
  <c r="J2" i="10"/>
  <c r="J1" i="10"/>
  <c r="B6" i="8"/>
  <c r="B9" i="8" s="1"/>
  <c r="B5" i="8"/>
  <c r="F10" i="6"/>
  <c r="F11" i="6" s="1"/>
  <c r="E10" i="6"/>
  <c r="E11" i="6" s="1"/>
  <c r="D10" i="6"/>
  <c r="D11" i="6" s="1"/>
  <c r="C10" i="6"/>
  <c r="C11" i="6" s="1"/>
  <c r="B10" i="6"/>
  <c r="B9" i="9"/>
  <c r="B8" i="9"/>
  <c r="B34" i="7"/>
  <c r="B33" i="7"/>
  <c r="B32" i="7"/>
  <c r="B31" i="7"/>
  <c r="B30" i="7"/>
  <c r="B26" i="7"/>
  <c r="B25" i="7"/>
  <c r="B24" i="7"/>
  <c r="B23" i="7"/>
  <c r="B18" i="7"/>
  <c r="B16" i="7"/>
  <c r="B10" i="7"/>
  <c r="B9" i="7"/>
  <c r="C9" i="6"/>
  <c r="D9" i="6"/>
  <c r="E9" i="6"/>
  <c r="F9" i="6"/>
  <c r="B9" i="6"/>
  <c r="F8" i="6"/>
  <c r="E8" i="6"/>
  <c r="D8" i="6"/>
  <c r="C8" i="6"/>
  <c r="B8" i="6"/>
  <c r="C5" i="6"/>
  <c r="D5" i="6"/>
  <c r="E5" i="6"/>
  <c r="F5" i="6"/>
  <c r="C6" i="6"/>
  <c r="D6" i="6"/>
  <c r="E6" i="6"/>
  <c r="F6" i="6"/>
  <c r="C7" i="6"/>
  <c r="D7" i="6"/>
  <c r="E7" i="6"/>
  <c r="F7" i="6"/>
  <c r="B7" i="6"/>
  <c r="B6" i="6"/>
  <c r="C7" i="5"/>
  <c r="D7" i="5"/>
  <c r="E7" i="5"/>
  <c r="F7" i="5"/>
  <c r="C8" i="5"/>
  <c r="D8" i="5"/>
  <c r="E8" i="5"/>
  <c r="E9" i="5" s="1"/>
  <c r="F8" i="5"/>
  <c r="C9" i="5"/>
  <c r="D9" i="5"/>
  <c r="F9" i="5"/>
  <c r="C10" i="5"/>
  <c r="D10" i="5"/>
  <c r="E10" i="5"/>
  <c r="F10" i="5"/>
  <c r="C11" i="5"/>
  <c r="D11" i="5"/>
  <c r="E11" i="5"/>
  <c r="F11" i="5"/>
  <c r="C12" i="5"/>
  <c r="D12" i="5"/>
  <c r="E12" i="5"/>
  <c r="F12" i="5"/>
  <c r="B9" i="5"/>
  <c r="B10" i="5"/>
  <c r="B12" i="5"/>
  <c r="B11" i="5"/>
  <c r="B8" i="5"/>
  <c r="B7" i="5"/>
  <c r="F6" i="5"/>
  <c r="E6" i="5"/>
  <c r="D6" i="5"/>
  <c r="C6" i="5"/>
  <c r="B6" i="5"/>
  <c r="C20" i="3"/>
  <c r="D20" i="3"/>
  <c r="E20" i="3"/>
  <c r="F20" i="3"/>
  <c r="G20" i="3"/>
  <c r="C21" i="3"/>
  <c r="D21" i="3"/>
  <c r="E21" i="3"/>
  <c r="F21" i="3"/>
  <c r="G21" i="3"/>
  <c r="B21" i="3"/>
  <c r="B20" i="3"/>
  <c r="B42" i="3" s="1"/>
  <c r="C42" i="3"/>
  <c r="D42" i="3"/>
  <c r="E42" i="3"/>
  <c r="F42" i="3"/>
  <c r="G42" i="3"/>
  <c r="C40" i="3"/>
  <c r="D40" i="3"/>
  <c r="E40" i="3"/>
  <c r="F40" i="3"/>
  <c r="G40" i="3"/>
  <c r="C38" i="3"/>
  <c r="D38" i="3"/>
  <c r="E38" i="3"/>
  <c r="F38" i="3"/>
  <c r="G38" i="3"/>
  <c r="B40" i="3"/>
  <c r="B41" i="3" s="1"/>
  <c r="B38" i="3"/>
  <c r="B35" i="3"/>
  <c r="D12" i="3"/>
  <c r="D14" i="3" s="1"/>
  <c r="D22" i="3" s="1"/>
  <c r="E12" i="3"/>
  <c r="E14" i="3" s="1"/>
  <c r="F12" i="3"/>
  <c r="F14" i="3" s="1"/>
  <c r="G12" i="3"/>
  <c r="G14" i="3" s="1"/>
  <c r="C12" i="3"/>
  <c r="C14" i="3" s="1"/>
  <c r="B12" i="3"/>
  <c r="C9" i="3"/>
  <c r="D9" i="3"/>
  <c r="E9" i="3"/>
  <c r="F9" i="3"/>
  <c r="G9" i="3"/>
  <c r="B9" i="3"/>
  <c r="D7" i="3"/>
  <c r="E7" i="3"/>
  <c r="F7" i="3"/>
  <c r="B7" i="3"/>
  <c r="B8" i="8" l="1"/>
  <c r="B10" i="8" s="1"/>
  <c r="B6" i="9" s="1"/>
  <c r="B43" i="3"/>
  <c r="G22" i="3"/>
  <c r="F22" i="3"/>
  <c r="E22" i="3"/>
  <c r="C22" i="3"/>
  <c r="B37" i="3"/>
  <c r="B36" i="3"/>
  <c r="B14" i="3"/>
  <c r="B22" i="3" s="1"/>
  <c r="B11" i="6"/>
  <c r="J3" i="10" s="1"/>
  <c r="A5" i="10" s="1"/>
  <c r="B5" i="9"/>
  <c r="B7" i="9" l="1"/>
  <c r="B10" i="9" l="1"/>
  <c r="B12" i="9" s="1"/>
  <c r="P2" i="11" s="1"/>
  <c r="P3" i="11" s="1"/>
</calcChain>
</file>

<file path=xl/sharedStrings.xml><?xml version="1.0" encoding="utf-8"?>
<sst xmlns="http://schemas.openxmlformats.org/spreadsheetml/2006/main" count="339" uniqueCount="209">
  <si>
    <t>Company</t>
  </si>
  <si>
    <t>Tata Consultancy Services Ltd.</t>
  </si>
  <si>
    <t>NSE Symbol</t>
  </si>
  <si>
    <t>TCS</t>
  </si>
  <si>
    <t>Industry</t>
  </si>
  <si>
    <t>Information Technology Services</t>
  </si>
  <si>
    <t>Currency</t>
  </si>
  <si>
    <t>INR (₹ Crores)</t>
  </si>
  <si>
    <t>Valuation Date</t>
  </si>
  <si>
    <t>(Today's Date)</t>
  </si>
  <si>
    <t>Forecast Period</t>
  </si>
  <si>
    <t>FY25–FY29</t>
  </si>
  <si>
    <t>Terminal Growth Model</t>
  </si>
  <si>
    <t>Gordon Growth Model</t>
  </si>
  <si>
    <t>GENERAL INFORMATION</t>
  </si>
  <si>
    <t>PARAMETER</t>
  </si>
  <si>
    <t>VALUE</t>
  </si>
  <si>
    <t>REMARKS</t>
  </si>
  <si>
    <t>Company Name</t>
  </si>
  <si>
    <t>Historical Period</t>
  </si>
  <si>
    <t>Base Year</t>
  </si>
  <si>
    <t>Tata Consultancy Ltd.</t>
  </si>
  <si>
    <t>INR(Crores)</t>
  </si>
  <si>
    <t>FY21-FY24</t>
  </si>
  <si>
    <t>FY25-FY29</t>
  </si>
  <si>
    <t>FY24</t>
  </si>
  <si>
    <t>REVENUE &amp; OPERATING ASSUMPTIONS</t>
  </si>
  <si>
    <t>Historical Revenue CAGR</t>
  </si>
  <si>
    <t>Forecast Revenue Growth</t>
  </si>
  <si>
    <t>EBIT Margin</t>
  </si>
  <si>
    <t>Effective Tax Rate</t>
  </si>
  <si>
    <t>Depreciation(% of Revenue)</t>
  </si>
  <si>
    <t>CapEx(% of Revenue)</t>
  </si>
  <si>
    <t>Net Working Capital (% of Revenue)</t>
  </si>
  <si>
    <t>FORMULA/SOURCE</t>
  </si>
  <si>
    <t>From FY21/FY24</t>
  </si>
  <si>
    <t>e.g.,8%</t>
  </si>
  <si>
    <t>% of Revenue</t>
  </si>
  <si>
    <t>avg. historical tax rate</t>
  </si>
  <si>
    <t>Historical average</t>
  </si>
  <si>
    <t>Risk Free Rate</t>
  </si>
  <si>
    <t>Beta</t>
  </si>
  <si>
    <t>Market Risk Premium</t>
  </si>
  <si>
    <t>Government Bond Yield</t>
  </si>
  <si>
    <t>Levered Beta</t>
  </si>
  <si>
    <t>Market Return-Risk Free Rate</t>
  </si>
  <si>
    <t>COST OF DEBT</t>
  </si>
  <si>
    <t>CAPM INPUTS</t>
  </si>
  <si>
    <t xml:space="preserve">VALUE </t>
  </si>
  <si>
    <t>CAPITAL STRUCTURE</t>
  </si>
  <si>
    <t>WACC</t>
  </si>
  <si>
    <t>TERMINAL VALUE ASSUMPTIONS</t>
  </si>
  <si>
    <t>MODEL OUTPUTS</t>
  </si>
  <si>
    <t>OUTPUT</t>
  </si>
  <si>
    <t>Cost of Equity</t>
  </si>
  <si>
    <t>Enterprise Value</t>
  </si>
  <si>
    <t>Equity Value</t>
  </si>
  <si>
    <t>Intrinsic Value per Share</t>
  </si>
  <si>
    <t>Upside/Downside(%)</t>
  </si>
  <si>
    <t>Cash &amp; Cash Equivalents</t>
  </si>
  <si>
    <t>Total Debt</t>
  </si>
  <si>
    <t>Shares Outstanding</t>
  </si>
  <si>
    <t>Current Market Price</t>
  </si>
  <si>
    <t>Terminal Growth Rate</t>
  </si>
  <si>
    <t>Final Forecast Year</t>
  </si>
  <si>
    <t>FY29</t>
  </si>
  <si>
    <t>EQUITY VALUE INPUTS</t>
  </si>
  <si>
    <t>After-tax Cost of Debt</t>
  </si>
  <si>
    <t>Equity Weight</t>
  </si>
  <si>
    <t>Debt Weight</t>
  </si>
  <si>
    <t>Interest Expense</t>
  </si>
  <si>
    <t>Interest /Debt</t>
  </si>
  <si>
    <t>Pre-tax Cost * (1-Tax Rate)</t>
  </si>
  <si>
    <t>FY21</t>
  </si>
  <si>
    <t>FY26</t>
  </si>
  <si>
    <t>FY25</t>
  </si>
  <si>
    <t>FY23</t>
  </si>
  <si>
    <t>FY22</t>
  </si>
  <si>
    <t>REVENUE</t>
  </si>
  <si>
    <t>INCOME STATEMENT</t>
  </si>
  <si>
    <t>PARTICULARS</t>
  </si>
  <si>
    <t>REVENUE GROWTH(%)</t>
  </si>
  <si>
    <t>EBIT</t>
  </si>
  <si>
    <t>EBIT MARGIN(%)</t>
  </si>
  <si>
    <t>TAX EXPENSE</t>
  </si>
  <si>
    <t>EFFECTIVE TAX RATE(%)</t>
  </si>
  <si>
    <t>NOPAT</t>
  </si>
  <si>
    <t>CASH FLOW DRIVERS</t>
  </si>
  <si>
    <t>DEPRECIATION AMORTIZATION</t>
  </si>
  <si>
    <t>CAPITAL EXPENDITURE</t>
  </si>
  <si>
    <t>NET WORKING CAPITAL</t>
  </si>
  <si>
    <t>CHANGE IN WORKING CAPITAL</t>
  </si>
  <si>
    <t>FREE CASH FLOW TO FIRM(FCFF)</t>
  </si>
  <si>
    <t>BALANCE SHEET DRIVERS</t>
  </si>
  <si>
    <t>TOTAL ASSETS</t>
  </si>
  <si>
    <t>CASH &amp; CASH EQUIVALENTS</t>
  </si>
  <si>
    <t>TOTAL DEBT</t>
  </si>
  <si>
    <t>SHAREHOLDERS' EQUITY</t>
  </si>
  <si>
    <t>KEY RATIOS</t>
  </si>
  <si>
    <t>Revenue CAGR</t>
  </si>
  <si>
    <t>Average EBIT Margin</t>
  </si>
  <si>
    <t>Average Tax Rate</t>
  </si>
  <si>
    <t>Average Depreciation (% Revenue)</t>
  </si>
  <si>
    <t>Average CapEx (% Revenue)</t>
  </si>
  <si>
    <t>Average NWC (% Revenue)</t>
  </si>
  <si>
    <t>PROFIT BEFORE TAX(PBT)</t>
  </si>
  <si>
    <t>PROFIT AFTER TAX(PAT)</t>
  </si>
  <si>
    <t>TOTAL CURRENT ASETS</t>
  </si>
  <si>
    <t>TOTAL CURRENT LIABILITIES</t>
  </si>
  <si>
    <t>FORECAST DRIVERS</t>
  </si>
  <si>
    <t>DRIVER</t>
  </si>
  <si>
    <t>REVENUE GROWTH</t>
  </si>
  <si>
    <t>EBIT MARGIN</t>
  </si>
  <si>
    <t>TAX RATE</t>
  </si>
  <si>
    <t>INVESTMENT ASSUMPTIONS</t>
  </si>
  <si>
    <t>CapEx(% REVENUE)</t>
  </si>
  <si>
    <t>NWC(% REVENUE)</t>
  </si>
  <si>
    <t>TERMINAL GROWTH</t>
  </si>
  <si>
    <t>TERMINAL GROWTH RATE</t>
  </si>
  <si>
    <t>FY27</t>
  </si>
  <si>
    <t>FY28</t>
  </si>
  <si>
    <t>FY30</t>
  </si>
  <si>
    <t>FY31</t>
  </si>
  <si>
    <t>Tax Rate</t>
  </si>
  <si>
    <t>DEPRECIATION(% REVENUE)</t>
  </si>
  <si>
    <t>Particular</t>
  </si>
  <si>
    <t>Revenue</t>
  </si>
  <si>
    <t>Tax</t>
  </si>
  <si>
    <t>Depreciation</t>
  </si>
  <si>
    <t>CapEx</t>
  </si>
  <si>
    <t>NWC</t>
  </si>
  <si>
    <t>Free Cash Flow to Firm (FCFF)</t>
  </si>
  <si>
    <t>FREE CASH FLOW TO FIRM</t>
  </si>
  <si>
    <t>Depreciation &amp; Amortization</t>
  </si>
  <si>
    <t>Capital Expenditure</t>
  </si>
  <si>
    <t>Change in Net Working Capital</t>
  </si>
  <si>
    <t>PROJECTED FINANCIAL STATEMENT</t>
  </si>
  <si>
    <t>OPERATING PERFORMANCE</t>
  </si>
  <si>
    <t>HISTORICAL    FINANCIALS</t>
  </si>
  <si>
    <t>CAPM AND WACC</t>
  </si>
  <si>
    <t>PARTICULAR</t>
  </si>
  <si>
    <t>Risk-Free Rate</t>
  </si>
  <si>
    <t>Equity Market Risk Premium</t>
  </si>
  <si>
    <t>B) COST OF DEBT</t>
  </si>
  <si>
    <t>Pre-tax Cost of Debt</t>
  </si>
  <si>
    <t>Market Value of Equity</t>
  </si>
  <si>
    <t>Market Value of Debt</t>
  </si>
  <si>
    <t>D) WACC</t>
  </si>
  <si>
    <t>C) CAPITAL STRUCTURE</t>
  </si>
  <si>
    <t xml:space="preserve"> </t>
  </si>
  <si>
    <t>Market Return</t>
  </si>
  <si>
    <t>Average D&amp;A / Revenue</t>
  </si>
  <si>
    <t>Average CapEx / Revenue</t>
  </si>
  <si>
    <t>Average NWC / Revenue</t>
  </si>
  <si>
    <t>Weighted Average Cost of Capital (WACC)</t>
  </si>
  <si>
    <t>A) COST OF EQUITY</t>
  </si>
  <si>
    <t>TERMINAL VALUE</t>
  </si>
  <si>
    <t>FORMULA</t>
  </si>
  <si>
    <t>Terminal Year FCFF</t>
  </si>
  <si>
    <t>Terminal Growth Rate(g)</t>
  </si>
  <si>
    <t>Terminal Value</t>
  </si>
  <si>
    <t>Discount Factor</t>
  </si>
  <si>
    <t>Present Value of Terminal Value</t>
  </si>
  <si>
    <t>(Terminal Year FCFF*(1+g))/(WACC-g)</t>
  </si>
  <si>
    <t>1/(1+WACC)^5</t>
  </si>
  <si>
    <t>Terminal Value*Discount Factor</t>
  </si>
  <si>
    <t>Reason-conservative and widely accepted</t>
  </si>
  <si>
    <t>DCF VALUATION</t>
  </si>
  <si>
    <t>Present Value of Explicit FCFF</t>
  </si>
  <si>
    <t>Less: Total Debt</t>
  </si>
  <si>
    <t>Add: Cash &amp; Cash Equivalents</t>
  </si>
  <si>
    <t>Shares Outstanding(Crores)</t>
  </si>
  <si>
    <t>Intrinsic Value Per Share(₹)</t>
  </si>
  <si>
    <t>Present value of FCFF</t>
  </si>
  <si>
    <t>SUM OF PV OF FCFF</t>
  </si>
  <si>
    <t>PV of Explicit FCFF+ PV of Terminal Value</t>
  </si>
  <si>
    <t>Enterprise Value-Total Debt +Cash &amp; Cash Eq</t>
  </si>
  <si>
    <t>Equity value/Shares Outstanding</t>
  </si>
  <si>
    <t>ASSUMPTIONS</t>
  </si>
  <si>
    <t>Terminal Growth</t>
  </si>
  <si>
    <t>SENSTIVITY ANALYSIS</t>
  </si>
  <si>
    <t>$J$5</t>
  </si>
  <si>
    <t>$J$6</t>
  </si>
  <si>
    <t>Bear Case</t>
  </si>
  <si>
    <t>Created by Dinesh Kumar on 26-07-2026</t>
  </si>
  <si>
    <t>Conservative</t>
  </si>
  <si>
    <t>Base Case</t>
  </si>
  <si>
    <t>Optimistic Case</t>
  </si>
  <si>
    <t>Bull Case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</si>
  <si>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</si>
  <si>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</si>
  <si>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</si>
  <si>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</si>
  <si>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</si>
  <si>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</si>
  <si>
    <t>wacc</t>
  </si>
  <si>
    <t>terminal growth</t>
  </si>
  <si>
    <t>intrinsic value</t>
  </si>
  <si>
    <t>TATA CONSULTANCY SERVICES</t>
  </si>
  <si>
    <t>Valuation Method</t>
  </si>
  <si>
    <t>FCFF, DCF</t>
  </si>
  <si>
    <t>Gordon Growth Method</t>
  </si>
  <si>
    <t>Latest Actual Year</t>
  </si>
  <si>
    <t>Model Date</t>
  </si>
  <si>
    <t>Projected Financials</t>
  </si>
  <si>
    <t>Actual Financials</t>
  </si>
  <si>
    <t>Financial Statements</t>
  </si>
  <si>
    <t>NSE:TCS</t>
  </si>
  <si>
    <t>After tax Cost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</si>
</sst>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00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i/>
      <sz val="11"/>
      <color rgb="FF002060"/>
      <name val="Times New Roman"/>
      <family val="1"/>
    </font>
    <font>
      <sz val="13"/>
      <color theme="1"/>
      <name val="Times New Roman"/>
      <family val="1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002060"/>
      <name val="Times New Roman"/>
      <family val="1"/>
    </font>
    <font>
      <b/>
      <sz val="24"/>
      <color theme="8" tint="0.79998168889431442"/>
      <name val="Times New Roman"/>
      <family val="1"/>
    </font>
    <font>
      <sz val="8"/>
      <name val="Calibri"/>
      <family val="2"/>
      <scheme val="minor"/>
    </font>
    <font>
      <sz val="11"/>
      <color theme="0"/>
      <name val="Times New Roman"/>
      <family val="1"/>
    </font>
    <font>
      <b/>
      <sz val="13"/>
      <color theme="0"/>
      <name val="Times New Roman"/>
      <family val="1"/>
    </font>
    <font>
      <sz val="13"/>
      <color theme="0"/>
      <name val="Times New Roman"/>
      <family val="1"/>
    </font>
    <font>
      <sz val="14"/>
      <color theme="0"/>
      <name val="Times New Roman"/>
      <family val="1"/>
    </font>
    <font>
      <b/>
      <sz val="16"/>
      <color rgb="FF002060"/>
      <name val="Times New Roman"/>
      <family val="1"/>
    </font>
    <font>
      <b/>
      <sz val="11"/>
      <color theme="0"/>
      <name val="Times New Roman"/>
      <family val="1"/>
    </font>
    <font>
      <b/>
      <sz val="26"/>
      <color theme="0"/>
      <name val="Times New Roman"/>
      <family val="1"/>
    </font>
    <font>
      <b/>
      <sz val="13"/>
      <color rgb="FF00206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72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rgb="FF002060"/>
      </bottom>
      <diagonal/>
    </border>
    <border>
      <left style="medium">
        <color rgb="FF00206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2060"/>
      </bottom>
      <diagonal/>
    </border>
    <border>
      <left/>
      <right style="medium">
        <color indexed="64"/>
      </right>
      <top style="medium">
        <color indexed="64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/>
      <diagonal/>
    </border>
    <border>
      <left/>
      <right style="medium">
        <color indexed="64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indexed="64"/>
      </bottom>
      <diagonal/>
    </border>
    <border>
      <left/>
      <right style="medium">
        <color indexed="64"/>
      </right>
      <top style="medium">
        <color rgb="FF00206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0" fontId="5" fillId="0" borderId="0" xfId="0" applyNumberFormat="1" applyFont="1"/>
    <xf numFmtId="10" fontId="1" fillId="0" borderId="0" xfId="0" applyNumberFormat="1" applyFont="1"/>
    <xf numFmtId="0" fontId="8" fillId="3" borderId="18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0" borderId="19" xfId="0" applyBorder="1"/>
    <xf numFmtId="0" fontId="10" fillId="4" borderId="19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right"/>
    </xf>
    <xf numFmtId="0" fontId="11" fillId="3" borderId="18" xfId="0" applyFont="1" applyFill="1" applyBorder="1" applyAlignment="1">
      <alignment horizontal="right"/>
    </xf>
    <xf numFmtId="0" fontId="10" fillId="4" borderId="20" xfId="0" applyFont="1" applyFill="1" applyBorder="1" applyAlignment="1">
      <alignment horizontal="left"/>
    </xf>
    <xf numFmtId="0" fontId="0" fillId="0" borderId="20" xfId="0" applyBorder="1"/>
    <xf numFmtId="2" fontId="1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  <xf numFmtId="10" fontId="19" fillId="0" borderId="0" xfId="0" applyNumberFormat="1" applyFont="1"/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vertical="center" wrapText="1"/>
    </xf>
    <xf numFmtId="0" fontId="18" fillId="6" borderId="12" xfId="0" applyFont="1" applyFill="1" applyBorder="1" applyAlignment="1">
      <alignment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5" fillId="7" borderId="16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19" fillId="6" borderId="12" xfId="0" applyFont="1" applyFill="1" applyBorder="1"/>
    <xf numFmtId="0" fontId="18" fillId="6" borderId="14" xfId="0" applyFont="1" applyFill="1" applyBorder="1"/>
    <xf numFmtId="0" fontId="19" fillId="6" borderId="11" xfId="0" applyFont="1" applyFill="1" applyBorder="1"/>
    <xf numFmtId="10" fontId="5" fillId="7" borderId="9" xfId="0" applyNumberFormat="1" applyFont="1" applyFill="1" applyBorder="1"/>
    <xf numFmtId="0" fontId="18" fillId="6" borderId="1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/>
    </xf>
    <xf numFmtId="0" fontId="20" fillId="6" borderId="11" xfId="0" applyFont="1" applyFill="1" applyBorder="1" applyAlignment="1">
      <alignment vertical="center" wrapText="1"/>
    </xf>
    <xf numFmtId="0" fontId="20" fillId="6" borderId="12" xfId="0" applyFont="1" applyFill="1" applyBorder="1" applyAlignment="1">
      <alignment vertical="center" wrapText="1"/>
    </xf>
    <xf numFmtId="0" fontId="19" fillId="6" borderId="42" xfId="0" applyFont="1" applyFill="1" applyBorder="1"/>
    <xf numFmtId="0" fontId="19" fillId="6" borderId="43" xfId="0" applyFont="1" applyFill="1" applyBorder="1"/>
    <xf numFmtId="0" fontId="5" fillId="7" borderId="21" xfId="0" applyFont="1" applyFill="1" applyBorder="1" applyAlignment="1">
      <alignment vertical="center" wrapText="1"/>
    </xf>
    <xf numFmtId="10" fontId="5" fillId="7" borderId="2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10" fontId="5" fillId="7" borderId="1" xfId="0" applyNumberFormat="1" applyFont="1" applyFill="1" applyBorder="1" applyAlignment="1">
      <alignment vertical="center" wrapText="1"/>
    </xf>
    <xf numFmtId="0" fontId="5" fillId="7" borderId="1" xfId="0" applyFont="1" applyFill="1" applyBorder="1"/>
    <xf numFmtId="0" fontId="5" fillId="7" borderId="14" xfId="0" applyFont="1" applyFill="1" applyBorder="1"/>
    <xf numFmtId="0" fontId="5" fillId="7" borderId="1" xfId="0" applyFont="1" applyFill="1" applyBorder="1" applyAlignment="1">
      <alignment horizontal="right"/>
    </xf>
    <xf numFmtId="10" fontId="13" fillId="7" borderId="1" xfId="0" applyNumberFormat="1" applyFont="1" applyFill="1" applyBorder="1"/>
    <xf numFmtId="0" fontId="13" fillId="7" borderId="1" xfId="0" applyFont="1" applyFill="1" applyBorder="1"/>
    <xf numFmtId="0" fontId="13" fillId="7" borderId="14" xfId="0" applyFont="1" applyFill="1" applyBorder="1"/>
    <xf numFmtId="10" fontId="13" fillId="7" borderId="14" xfId="0" applyNumberFormat="1" applyFont="1" applyFill="1" applyBorder="1"/>
    <xf numFmtId="0" fontId="21" fillId="7" borderId="0" xfId="0" applyFont="1" applyFill="1"/>
    <xf numFmtId="0" fontId="18" fillId="6" borderId="12" xfId="0" applyFont="1" applyFill="1" applyBorder="1" applyAlignment="1">
      <alignment horizontal="center"/>
    </xf>
    <xf numFmtId="0" fontId="21" fillId="7" borderId="21" xfId="0" applyFont="1" applyFill="1" applyBorder="1"/>
    <xf numFmtId="2" fontId="22" fillId="8" borderId="22" xfId="0" applyNumberFormat="1" applyFont="1" applyFill="1" applyBorder="1"/>
    <xf numFmtId="164" fontId="22" fillId="8" borderId="35" xfId="0" applyNumberFormat="1" applyFont="1" applyFill="1" applyBorder="1"/>
    <xf numFmtId="164" fontId="22" fillId="8" borderId="33" xfId="0" applyNumberFormat="1" applyFont="1" applyFill="1" applyBorder="1"/>
    <xf numFmtId="164" fontId="22" fillId="8" borderId="34" xfId="0" applyNumberFormat="1" applyFont="1" applyFill="1" applyBorder="1"/>
    <xf numFmtId="164" fontId="22" fillId="8" borderId="39" xfId="0" applyNumberFormat="1" applyFont="1" applyFill="1" applyBorder="1"/>
    <xf numFmtId="164" fontId="22" fillId="8" borderId="40" xfId="0" applyNumberFormat="1" applyFont="1" applyFill="1" applyBorder="1"/>
    <xf numFmtId="164" fontId="22" fillId="8" borderId="41" xfId="0" applyNumberFormat="1" applyFont="1" applyFill="1" applyBorder="1"/>
    <xf numFmtId="0" fontId="1" fillId="7" borderId="36" xfId="0" applyFont="1" applyFill="1" applyBorder="1"/>
    <xf numFmtId="0" fontId="1" fillId="7" borderId="37" xfId="0" applyFont="1" applyFill="1" applyBorder="1"/>
    <xf numFmtId="0" fontId="1" fillId="7" borderId="38" xfId="0" applyFont="1" applyFill="1" applyBorder="1"/>
    <xf numFmtId="0" fontId="1" fillId="7" borderId="31" xfId="0" applyFont="1" applyFill="1" applyBorder="1"/>
    <xf numFmtId="0" fontId="1" fillId="7" borderId="21" xfId="0" applyFont="1" applyFill="1" applyBorder="1"/>
    <xf numFmtId="0" fontId="1" fillId="7" borderId="27" xfId="0" applyFont="1" applyFill="1" applyBorder="1"/>
    <xf numFmtId="0" fontId="1" fillId="7" borderId="32" xfId="0" applyFont="1" applyFill="1" applyBorder="1"/>
    <xf numFmtId="0" fontId="1" fillId="7" borderId="29" xfId="0" applyFont="1" applyFill="1" applyBorder="1"/>
    <xf numFmtId="0" fontId="1" fillId="7" borderId="30" xfId="0" applyFont="1" applyFill="1" applyBorder="1"/>
    <xf numFmtId="2" fontId="5" fillId="7" borderId="21" xfId="0" applyNumberFormat="1" applyFont="1" applyFill="1" applyBorder="1"/>
    <xf numFmtId="0" fontId="5" fillId="7" borderId="21" xfId="0" applyFont="1" applyFill="1" applyBorder="1"/>
    <xf numFmtId="10" fontId="5" fillId="7" borderId="21" xfId="0" applyNumberFormat="1" applyFont="1" applyFill="1" applyBorder="1"/>
    <xf numFmtId="0" fontId="5" fillId="7" borderId="31" xfId="0" applyFont="1" applyFill="1" applyBorder="1"/>
    <xf numFmtId="10" fontId="5" fillId="7" borderId="31" xfId="0" applyNumberFormat="1" applyFont="1" applyFill="1" applyBorder="1"/>
    <xf numFmtId="0" fontId="22" fillId="6" borderId="21" xfId="0" applyFont="1" applyFill="1" applyBorder="1"/>
    <xf numFmtId="0" fontId="17" fillId="6" borderId="21" xfId="0" applyFont="1" applyFill="1" applyBorder="1"/>
    <xf numFmtId="10" fontId="1" fillId="7" borderId="21" xfId="0" applyNumberFormat="1" applyFont="1" applyFill="1" applyBorder="1"/>
    <xf numFmtId="9" fontId="1" fillId="7" borderId="21" xfId="0" applyNumberFormat="1" applyFont="1" applyFill="1" applyBorder="1"/>
    <xf numFmtId="44" fontId="1" fillId="7" borderId="21" xfId="0" applyNumberFormat="1" applyFont="1" applyFill="1" applyBorder="1"/>
    <xf numFmtId="0" fontId="14" fillId="7" borderId="21" xfId="0" applyFont="1" applyFill="1" applyBorder="1"/>
    <xf numFmtId="0" fontId="18" fillId="6" borderId="21" xfId="0" applyFont="1" applyFill="1" applyBorder="1" applyAlignment="1">
      <alignment horizontal="center" vertical="center" wrapText="1"/>
    </xf>
    <xf numFmtId="0" fontId="18" fillId="6" borderId="12" xfId="0" applyFont="1" applyFill="1" applyBorder="1"/>
    <xf numFmtId="0" fontId="24" fillId="7" borderId="46" xfId="0" applyFont="1" applyFill="1" applyBorder="1"/>
    <xf numFmtId="0" fontId="19" fillId="6" borderId="47" xfId="0" applyFont="1" applyFill="1" applyBorder="1"/>
    <xf numFmtId="0" fontId="19" fillId="6" borderId="23" xfId="0" applyFont="1" applyFill="1" applyBorder="1"/>
    <xf numFmtId="0" fontId="19" fillId="6" borderId="24" xfId="0" applyFont="1" applyFill="1" applyBorder="1"/>
    <xf numFmtId="0" fontId="19" fillId="6" borderId="25" xfId="0" applyFont="1" applyFill="1" applyBorder="1"/>
    <xf numFmtId="0" fontId="19" fillId="6" borderId="26" xfId="0" applyFont="1" applyFill="1" applyBorder="1"/>
    <xf numFmtId="0" fontId="5" fillId="7" borderId="27" xfId="0" applyFont="1" applyFill="1" applyBorder="1"/>
    <xf numFmtId="0" fontId="19" fillId="6" borderId="28" xfId="0" applyFont="1" applyFill="1" applyBorder="1"/>
    <xf numFmtId="0" fontId="5" fillId="7" borderId="29" xfId="0" applyFont="1" applyFill="1" applyBorder="1"/>
    <xf numFmtId="0" fontId="5" fillId="7" borderId="30" xfId="0" applyFont="1" applyFill="1" applyBorder="1"/>
    <xf numFmtId="0" fontId="19" fillId="6" borderId="22" xfId="0" applyFont="1" applyFill="1" applyBorder="1"/>
    <xf numFmtId="10" fontId="5" fillId="7" borderId="27" xfId="0" applyNumberFormat="1" applyFont="1" applyFill="1" applyBorder="1"/>
    <xf numFmtId="10" fontId="5" fillId="7" borderId="30" xfId="0" applyNumberFormat="1" applyFont="1" applyFill="1" applyBorder="1"/>
    <xf numFmtId="0" fontId="18" fillId="6" borderId="23" xfId="0" applyFont="1" applyFill="1" applyBorder="1"/>
    <xf numFmtId="0" fontId="18" fillId="6" borderId="48" xfId="0" applyFont="1" applyFill="1" applyBorder="1"/>
    <xf numFmtId="0" fontId="18" fillId="6" borderId="49" xfId="0" applyFont="1" applyFill="1" applyBorder="1"/>
    <xf numFmtId="0" fontId="6" fillId="7" borderId="27" xfId="0" applyFont="1" applyFill="1" applyBorder="1"/>
    <xf numFmtId="0" fontId="5" fillId="7" borderId="32" xfId="0" applyFont="1" applyFill="1" applyBorder="1"/>
    <xf numFmtId="0" fontId="6" fillId="7" borderId="30" xfId="0" applyFont="1" applyFill="1" applyBorder="1"/>
    <xf numFmtId="0" fontId="18" fillId="6" borderId="50" xfId="0" applyFont="1" applyFill="1" applyBorder="1"/>
    <xf numFmtId="0" fontId="18" fillId="6" borderId="51" xfId="0" applyFont="1" applyFill="1" applyBorder="1"/>
    <xf numFmtId="0" fontId="18" fillId="6" borderId="52" xfId="0" applyFont="1" applyFill="1" applyBorder="1"/>
    <xf numFmtId="0" fontId="19" fillId="6" borderId="53" xfId="0" applyFont="1" applyFill="1" applyBorder="1"/>
    <xf numFmtId="0" fontId="19" fillId="6" borderId="54" xfId="0" applyFont="1" applyFill="1" applyBorder="1"/>
    <xf numFmtId="2" fontId="5" fillId="7" borderId="29" xfId="0" applyNumberFormat="1" applyFont="1" applyFill="1" applyBorder="1"/>
    <xf numFmtId="0" fontId="8" fillId="3" borderId="55" xfId="0" applyFont="1" applyFill="1" applyBorder="1" applyAlignment="1">
      <alignment horizontal="left"/>
    </xf>
    <xf numFmtId="0" fontId="11" fillId="3" borderId="52" xfId="0" applyFont="1" applyFill="1" applyBorder="1" applyAlignment="1">
      <alignment horizontal="right"/>
    </xf>
    <xf numFmtId="0" fontId="8" fillId="3" borderId="56" xfId="0" applyFont="1" applyFill="1" applyBorder="1" applyAlignment="1">
      <alignment horizontal="left"/>
    </xf>
    <xf numFmtId="0" fontId="11" fillId="3" borderId="57" xfId="0" applyFont="1" applyFill="1" applyBorder="1" applyAlignment="1">
      <alignment horizontal="right"/>
    </xf>
    <xf numFmtId="0" fontId="9" fillId="4" borderId="53" xfId="0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12" fillId="0" borderId="0" xfId="0" applyFont="1" applyAlignment="1">
      <alignment vertical="top" wrapText="1"/>
    </xf>
    <xf numFmtId="0" fontId="12" fillId="0" borderId="58" xfId="0" applyFont="1" applyBorder="1" applyAlignment="1">
      <alignment vertical="top" wrapText="1"/>
    </xf>
    <xf numFmtId="0" fontId="10" fillId="4" borderId="59" xfId="0" applyFont="1" applyFill="1" applyBorder="1" applyAlignment="1">
      <alignment horizontal="left"/>
    </xf>
    <xf numFmtId="0" fontId="0" fillId="0" borderId="60" xfId="0" applyBorder="1"/>
    <xf numFmtId="10" fontId="0" fillId="0" borderId="0" xfId="0" applyNumberFormat="1"/>
    <xf numFmtId="10" fontId="0" fillId="5" borderId="0" xfId="0" applyNumberFormat="1" applyFill="1"/>
    <xf numFmtId="10" fontId="0" fillId="5" borderId="58" xfId="0" applyNumberFormat="1" applyFill="1" applyBorder="1"/>
    <xf numFmtId="0" fontId="10" fillId="4" borderId="61" xfId="0" applyFont="1" applyFill="1" applyBorder="1" applyAlignment="1">
      <alignment horizontal="left"/>
    </xf>
    <xf numFmtId="0" fontId="0" fillId="0" borderId="62" xfId="0" applyBorder="1"/>
    <xf numFmtId="0" fontId="18" fillId="6" borderId="6" xfId="0" applyFont="1" applyFill="1" applyBorder="1" applyAlignment="1">
      <alignment horizontal="center"/>
    </xf>
    <xf numFmtId="0" fontId="18" fillId="6" borderId="63" xfId="0" applyFont="1" applyFill="1" applyBorder="1" applyAlignment="1">
      <alignment horizontal="center"/>
    </xf>
    <xf numFmtId="0" fontId="18" fillId="6" borderId="64" xfId="0" applyFont="1" applyFill="1" applyBorder="1" applyAlignment="1">
      <alignment horizontal="center"/>
    </xf>
    <xf numFmtId="0" fontId="19" fillId="6" borderId="65" xfId="0" applyFont="1" applyFill="1" applyBorder="1"/>
    <xf numFmtId="0" fontId="5" fillId="7" borderId="66" xfId="0" applyFont="1" applyFill="1" applyBorder="1" applyAlignment="1">
      <alignment vertical="center" wrapText="1"/>
    </xf>
    <xf numFmtId="10" fontId="5" fillId="7" borderId="66" xfId="0" applyNumberFormat="1" applyFont="1" applyFill="1" applyBorder="1" applyAlignment="1">
      <alignment vertical="center" wrapText="1"/>
    </xf>
    <xf numFmtId="0" fontId="19" fillId="6" borderId="67" xfId="0" applyFont="1" applyFill="1" applyBorder="1"/>
    <xf numFmtId="0" fontId="5" fillId="7" borderId="68" xfId="0" applyFont="1" applyFill="1" applyBorder="1" applyAlignment="1">
      <alignment vertical="center" wrapText="1"/>
    </xf>
    <xf numFmtId="0" fontId="5" fillId="7" borderId="69" xfId="0" applyFont="1" applyFill="1" applyBorder="1" applyAlignment="1">
      <alignment vertical="center" wrapText="1"/>
    </xf>
    <xf numFmtId="0" fontId="21" fillId="7" borderId="22" xfId="0" applyFont="1" applyFill="1" applyBorder="1"/>
    <xf numFmtId="0" fontId="18" fillId="6" borderId="44" xfId="0" applyFont="1" applyFill="1" applyBorder="1"/>
    <xf numFmtId="0" fontId="18" fillId="6" borderId="45" xfId="0" applyFont="1" applyFill="1" applyBorder="1"/>
    <xf numFmtId="9" fontId="5" fillId="7" borderId="21" xfId="0" applyNumberFormat="1" applyFont="1" applyFill="1" applyBorder="1" applyAlignment="1">
      <alignment vertical="center" wrapText="1"/>
    </xf>
    <xf numFmtId="0" fontId="14" fillId="7" borderId="22" xfId="0" applyFont="1" applyFill="1" applyBorder="1"/>
    <xf numFmtId="0" fontId="19" fillId="6" borderId="47" xfId="0" applyFont="1" applyFill="1" applyBorder="1" applyAlignment="1">
      <alignment vertical="center" wrapText="1"/>
    </xf>
    <xf numFmtId="0" fontId="18" fillId="6" borderId="47" xfId="0" applyFont="1" applyFill="1" applyBorder="1" applyAlignment="1">
      <alignment vertical="center" wrapText="1"/>
    </xf>
    <xf numFmtId="0" fontId="18" fillId="6" borderId="4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vertical="center" wrapText="1"/>
    </xf>
    <xf numFmtId="0" fontId="5" fillId="7" borderId="24" xfId="0" applyFont="1" applyFill="1" applyBorder="1" applyAlignment="1">
      <alignment vertical="center" wrapText="1"/>
    </xf>
    <xf numFmtId="0" fontId="5" fillId="7" borderId="25" xfId="0" applyFont="1" applyFill="1" applyBorder="1" applyAlignment="1">
      <alignment vertical="center" wrapText="1"/>
    </xf>
    <xf numFmtId="0" fontId="5" fillId="7" borderId="26" xfId="0" applyFont="1" applyFill="1" applyBorder="1" applyAlignment="1">
      <alignment vertical="center" wrapText="1"/>
    </xf>
    <xf numFmtId="0" fontId="5" fillId="7" borderId="27" xfId="0" applyFont="1" applyFill="1" applyBorder="1" applyAlignment="1">
      <alignment vertical="center" wrapText="1"/>
    </xf>
    <xf numFmtId="0" fontId="5" fillId="7" borderId="26" xfId="0" applyFont="1" applyFill="1" applyBorder="1"/>
    <xf numFmtId="0" fontId="5" fillId="7" borderId="28" xfId="0" applyFont="1" applyFill="1" applyBorder="1"/>
    <xf numFmtId="0" fontId="19" fillId="6" borderId="70" xfId="0" applyFont="1" applyFill="1" applyBorder="1"/>
    <xf numFmtId="0" fontId="5" fillId="7" borderId="46" xfId="0" applyFont="1" applyFill="1" applyBorder="1"/>
    <xf numFmtId="0" fontId="5" fillId="7" borderId="71" xfId="0" applyFont="1" applyFill="1" applyBorder="1"/>
    <xf numFmtId="15" fontId="5" fillId="7" borderId="21" xfId="0" applyNumberFormat="1" applyFont="1" applyFill="1" applyBorder="1"/>
    <xf numFmtId="10" fontId="5" fillId="7" borderId="29" xfId="0" applyNumberFormat="1" applyFont="1" applyFill="1" applyBorder="1"/>
    <xf numFmtId="10" fontId="5" fillId="7" borderId="25" xfId="0" applyNumberFormat="1" applyFont="1" applyFill="1" applyBorder="1"/>
    <xf numFmtId="2" fontId="5" fillId="7" borderId="27" xfId="0" applyNumberFormat="1" applyFont="1" applyFill="1" applyBorder="1"/>
    <xf numFmtId="165" fontId="5" fillId="7" borderId="27" xfId="0" applyNumberFormat="1" applyFont="1" applyFill="1" applyBorder="1"/>
    <xf numFmtId="0" fontId="24" fillId="7" borderId="46" xfId="0" applyFont="1" applyFill="1" applyBorder="1" applyAlignment="1">
      <alignment horizontal="left"/>
    </xf>
    <xf numFmtId="0" fontId="7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15" fillId="6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8D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Dashboard!$S$5:$AB$5</c:f>
              <c:strCache>
                <c:ptCount val="10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</c:strCache>
            </c:strRef>
          </c:cat>
          <c:val>
            <c:numRef>
              <c:f>Dashboard!$S$6:$AB$6</c:f>
              <c:numCache>
                <c:formatCode>General</c:formatCode>
                <c:ptCount val="10"/>
                <c:pt idx="0">
                  <c:v>0.1679711530847805</c:v>
                </c:pt>
                <c:pt idx="1">
                  <c:v>0.17576686796624852</c:v>
                </c:pt>
                <c:pt idx="2">
                  <c:v>6.8460644554639849E-2</c:v>
                </c:pt>
                <c:pt idx="3">
                  <c:v>5.9906265437351891E-2</c:v>
                </c:pt>
                <c:pt idx="4">
                  <c:v>4.581237956478823E-2</c:v>
                </c:pt>
                <c:pt idx="5" formatCode="0.00%">
                  <c:v>0.06</c:v>
                </c:pt>
                <c:pt idx="6" formatCode="0.00%">
                  <c:v>0.06</c:v>
                </c:pt>
                <c:pt idx="7" formatCode="0.00%">
                  <c:v>5.7500000000000002E-2</c:v>
                </c:pt>
                <c:pt idx="8" formatCode="0.00%">
                  <c:v>5.5E-2</c:v>
                </c:pt>
                <c:pt idx="9" formatCode="0.00%">
                  <c:v>5.2499999999999998E-2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4-4819-B2C6-FAA62D83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704431"/>
        <c:axId val="2042706351"/>
      </c:lineChart>
      <c:catAx>
        <c:axId val="2042704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2706351"/>
        <c:crosses val="autoZero"/>
        <c:auto val="1"/>
        <c:lblAlgn val="ctr"/>
        <c:lblOffset val="100"/>
        <c:noMultiLvlLbl val="0"/>
      </c:catAx>
      <c:valAx>
        <c:axId val="20427063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270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FCFF!$A$9</c:f>
              <c:strCache>
                <c:ptCount val="1"/>
                <c:pt idx="0">
                  <c:v>Free Cash Flow to Firm (FCFF)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FCFF!$B$4:$F$4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FCFF!$B$9:$F$9</c:f>
              <c:numCache>
                <c:formatCode>General</c:formatCode>
                <c:ptCount val="5"/>
                <c:pt idx="0">
                  <c:v>8632.1169999999984</c:v>
                </c:pt>
                <c:pt idx="1">
                  <c:v>52182.478000000003</c:v>
                </c:pt>
                <c:pt idx="2">
                  <c:v>49679.330999999998</c:v>
                </c:pt>
                <c:pt idx="3">
                  <c:v>47161.756000000008</c:v>
                </c:pt>
                <c:pt idx="4">
                  <c:v>43234.248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8-4F14-BA5B-839AE80B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62079"/>
        <c:axId val="33962559"/>
      </c:barChart>
      <c:catAx>
        <c:axId val="3396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2559"/>
        <c:crosses val="autoZero"/>
        <c:auto val="1"/>
        <c:lblAlgn val="ctr"/>
        <c:lblOffset val="100"/>
        <c:noMultiLvlLbl val="0"/>
      </c:catAx>
      <c:valAx>
        <c:axId val="3396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Enterprise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Enterprise Value</a:t>
          </a:r>
        </a:p>
      </cx:txPr>
    </cx:title>
    <cx:plotArea>
      <cx:plotAreaRegion>
        <cx:series layoutId="waterfall" uniqueId="{00000000-A06B-4FA0-B443-6E38F1ED06F3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  <cx:legend pos="b" align="ctr" overlay="0"/>
  </cx:chart>
  <cx:spPr>
    <a:solidFill>
      <a:schemeClr val="accent6">
        <a:lumMod val="40000"/>
        <a:lumOff val="60000"/>
      </a:schemeClr>
    </a:solidFill>
    <a:ln w="12700">
      <a:solidFill>
        <a:schemeClr val="tx1"/>
      </a:solidFill>
    </a:ln>
    <a:effectLst>
      <a:outerShdw blurRad="63500" sx="102000" sy="102000" algn="ctr" rotWithShape="0">
        <a:prstClr val="black">
          <a:alpha val="40000"/>
        </a:prstClr>
      </a:outerShdw>
      <a:softEdge rad="1270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305288</xdr:colOff>
      <xdr:row>1</xdr:row>
      <xdr:rowOff>76200</xdr:rowOff>
    </xdr:from>
    <xdr:to>
      <xdr:col>17</xdr:col>
      <xdr:colOff>256442</xdr:colOff>
      <xdr:row>4</xdr:row>
      <xdr:rowOff>91587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869778-EC49-BB5C-99E7-58A8595CECE1}"/>
            </a:ext>
          </a:extLst>
        </xdr:cNvPr>
        <xdr:cNvSpPr txBox="1"/>
      </xdr:nvSpPr>
      <xdr:spPr>
        <a:xfrm>
          <a:off x="305288" y="259373"/>
          <a:ext cx="10330962" cy="564906"/>
        </a:xfrm>
        <a:prstGeom prst="rect">
          <a:avLst/>
        </a:prstGeom>
        <a:solidFill>
          <a:schemeClr val="accent5">
            <a:lumMod val="50000"/>
          </a:schemeClr>
        </a:solidFill>
        <a:ln w="28575" cmpd="sng">
          <a:solidFill>
            <a:srgbClr val="002060"/>
          </a:solidFill>
        </a:ln>
        <a:effectLst/>
        <a:scene3d>
          <a:camera prst="orthographicFront"/>
          <a:lightRig rig="threePt" dir="t">
            <a:rot lat="0" lon="0" rev="3000000"/>
          </a:lightRig>
        </a:scene3d>
        <a:sp3d extrusionH="177800" contourW="82550">
          <a:bevelT prst="relaxedInset"/>
          <a:extrusionClr>
            <a:schemeClr val="bg1"/>
          </a:extrusionClr>
          <a:contourClr>
            <a:schemeClr val="bg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50800" dir="5400000" algn="ctr" rotWithShape="0">
                  <a:srgbClr val="00206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TATA CONSULTANCY SERVICES</a:t>
          </a:r>
          <a:r>
            <a:rPr lang="en-IN" sz="3200" b="1" baseline="0"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50800" dir="5400000" algn="ctr" rotWithShape="0">
                  <a:srgbClr val="002060"/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LTD.</a:t>
          </a:r>
          <a:endParaRPr lang="en-IN" sz="3200" b="1">
            <a:solidFill>
              <a:schemeClr val="accent5">
                <a:lumMod val="20000"/>
                <a:lumOff val="80000"/>
              </a:schemeClr>
            </a:solidFill>
            <a:effectLst>
              <a:outerShdw blurRad="50800" dist="50800" dir="5400000" algn="ctr" rotWithShape="0">
                <a:srgbClr val="002060"/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321149</xdr:colOff>
      <xdr:row>4</xdr:row>
      <xdr:rowOff>109904</xdr:rowOff>
    </xdr:from>
    <xdr:ext cx="11182377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5F66B3-64EC-0721-9A03-FF7729208A55}"/>
            </a:ext>
          </a:extLst>
        </xdr:cNvPr>
        <xdr:cNvSpPr txBox="1"/>
      </xdr:nvSpPr>
      <xdr:spPr>
        <a:xfrm>
          <a:off x="321149" y="858536"/>
          <a:ext cx="11182377" cy="311496"/>
        </a:xfrm>
        <a:prstGeom prst="rect">
          <a:avLst/>
        </a:prstGeom>
        <a:solidFill>
          <a:srgbClr val="002060"/>
        </a:solidFill>
        <a:effectLst>
          <a:innerShdw blurRad="63500">
            <a:schemeClr val="tx1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400" b="1">
              <a:solidFill>
                <a:schemeClr val="bg1"/>
              </a:solidFill>
            </a:rPr>
            <a:t>DISCOUNTED CASH FLOW (DCF) VALUATION MODEL</a:t>
          </a:r>
        </a:p>
      </xdr:txBody>
    </xdr:sp>
    <xdr:clientData/>
  </xdr:oneCellAnchor>
  <xdr:twoCellAnchor>
    <xdr:from>
      <xdr:col>0</xdr:col>
      <xdr:colOff>320360</xdr:colOff>
      <xdr:row>6</xdr:row>
      <xdr:rowOff>73265</xdr:rowOff>
    </xdr:from>
    <xdr:to>
      <xdr:col>17</xdr:col>
      <xdr:colOff>247257</xdr:colOff>
      <xdr:row>7</xdr:row>
      <xdr:rowOff>146533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B5BB4E-F4E6-DCFD-1171-089742C3C1FC}"/>
            </a:ext>
          </a:extLst>
        </xdr:cNvPr>
        <xdr:cNvSpPr txBox="1"/>
      </xdr:nvSpPr>
      <xdr:spPr>
        <a:xfrm>
          <a:off x="320360" y="1185920"/>
          <a:ext cx="11182693" cy="25871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chemeClr val="bg1"/>
              </a:solidFill>
            </a:rPr>
            <a:t>Intrinsic Valuation using Free Cash Flow to Firm (FCFF)</a:t>
          </a:r>
        </a:p>
      </xdr:txBody>
    </xdr:sp>
    <xdr:clientData/>
  </xdr:twoCellAnchor>
  <xdr:twoCellAnchor>
    <xdr:from>
      <xdr:col>3</xdr:col>
      <xdr:colOff>661951</xdr:colOff>
      <xdr:row>8</xdr:row>
      <xdr:rowOff>98328</xdr:rowOff>
    </xdr:from>
    <xdr:to>
      <xdr:col>7</xdr:col>
      <xdr:colOff>86384</xdr:colOff>
      <xdr:row>15</xdr:row>
      <xdr:rowOff>216737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DA8FA0-2D4C-1733-8B04-6D8D04AB6E33}"/>
            </a:ext>
          </a:extLst>
        </xdr:cNvPr>
        <xdr:cNvSpPr txBox="1"/>
      </xdr:nvSpPr>
      <xdr:spPr>
        <a:xfrm>
          <a:off x="4504022" y="1586409"/>
          <a:ext cx="2028574" cy="179891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28575">
          <a:solidFill>
            <a:srgbClr val="00206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Model Highlights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Dynamic DCF Model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FCFF Forecasting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CAPM-based Cost of Equity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WACC Calculation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Terminal Value Estimation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Enterprise &amp; Equity Valuation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Sensitivity Analysis</a:t>
          </a:r>
        </a:p>
        <a:p>
          <a:r>
            <a:rPr lang="en-IN" sz="100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✔ Executive Dashboard</a:t>
          </a:r>
        </a:p>
        <a:p>
          <a:endParaRPr lang="en-IN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543350</xdr:colOff>
      <xdr:row>8</xdr:row>
      <xdr:rowOff>19639</xdr:rowOff>
    </xdr:from>
    <xdr:to>
      <xdr:col>15</xdr:col>
      <xdr:colOff>78556</xdr:colOff>
      <xdr:row>17</xdr:row>
      <xdr:rowOff>52371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35597B-8DA8-3AA1-0569-56F13D7F1730}"/>
            </a:ext>
          </a:extLst>
        </xdr:cNvPr>
        <xdr:cNvSpPr txBox="1"/>
      </xdr:nvSpPr>
      <xdr:spPr>
        <a:xfrm>
          <a:off x="6984999" y="1486031"/>
          <a:ext cx="4405722" cy="214067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2857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002060"/>
              </a:solidFill>
            </a:rPr>
            <a:t>                Sheet</a:t>
          </a:r>
          <a:r>
            <a:rPr lang="en-IN" b="1" baseline="0">
              <a:solidFill>
                <a:srgbClr val="002060"/>
              </a:solidFill>
            </a:rPr>
            <a:t>                                                                 </a:t>
          </a:r>
          <a:r>
            <a:rPr lang="en-IN" b="1">
              <a:solidFill>
                <a:srgbClr val="002060"/>
              </a:solidFill>
            </a:rPr>
            <a:t>Description</a:t>
          </a:r>
        </a:p>
        <a:p>
          <a:r>
            <a:rPr lang="en-IN">
              <a:solidFill>
                <a:srgbClr val="002060"/>
              </a:solidFill>
            </a:rPr>
            <a:t>01 CoverProject                                                                Overview</a:t>
          </a:r>
        </a:p>
        <a:p>
          <a:r>
            <a:rPr lang="en-IN">
              <a:solidFill>
                <a:srgbClr val="002060"/>
              </a:solidFill>
            </a:rPr>
            <a:t>02 Assumptions                                                             Model Inputs</a:t>
          </a:r>
        </a:p>
        <a:p>
          <a:r>
            <a:rPr lang="en-IN">
              <a:solidFill>
                <a:srgbClr val="002060"/>
              </a:solidFill>
            </a:rPr>
            <a:t>03 Historical Financials                                                Historical Data</a:t>
          </a:r>
        </a:p>
        <a:p>
          <a:r>
            <a:rPr lang="en-IN">
              <a:solidFill>
                <a:srgbClr val="002060"/>
              </a:solidFill>
            </a:rPr>
            <a:t>04 Forecast Drivers                                       Revenue &amp; Margin Assumptions</a:t>
          </a:r>
        </a:p>
        <a:p>
          <a:r>
            <a:rPr lang="en-IN">
              <a:solidFill>
                <a:srgbClr val="002060"/>
              </a:solidFill>
            </a:rPr>
            <a:t>05 Forecast Statements                                           Projected Financials</a:t>
          </a:r>
        </a:p>
        <a:p>
          <a:r>
            <a:rPr lang="en-IN">
              <a:solidFill>
                <a:srgbClr val="002060"/>
              </a:solidFill>
            </a:rPr>
            <a:t>06 FCFF                                                                     Free Cash Flow to Firm</a:t>
          </a:r>
        </a:p>
        <a:p>
          <a:r>
            <a:rPr lang="en-IN">
              <a:solidFill>
                <a:srgbClr val="002060"/>
              </a:solidFill>
            </a:rPr>
            <a:t>07 CAPM &amp; WACC                                               Discount Rate Calculation</a:t>
          </a:r>
        </a:p>
        <a:p>
          <a:r>
            <a:rPr lang="en-IN">
              <a:solidFill>
                <a:srgbClr val="002060"/>
              </a:solidFill>
            </a:rPr>
            <a:t>08 Terminal Value                                               Gordon Growth Valuation</a:t>
          </a:r>
        </a:p>
        <a:p>
          <a:r>
            <a:rPr lang="en-IN">
              <a:solidFill>
                <a:srgbClr val="002060"/>
              </a:solidFill>
            </a:rPr>
            <a:t>09 DCF Valuation                                                 Enterprise &amp; Equity Value</a:t>
          </a:r>
        </a:p>
        <a:p>
          <a:r>
            <a:rPr lang="en-IN">
              <a:solidFill>
                <a:srgbClr val="002060"/>
              </a:solidFill>
            </a:rPr>
            <a:t>10 Sensitivity                                                           WACC × Growth Matrix</a:t>
          </a:r>
        </a:p>
        <a:p>
          <a:r>
            <a:rPr lang="en-IN">
              <a:solidFill>
                <a:srgbClr val="002060"/>
              </a:solidFill>
            </a:rPr>
            <a:t>11 Dashboard                                                             Executive Summary</a:t>
          </a:r>
        </a:p>
        <a:p>
          <a:endParaRPr lang="en-IN" sz="110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602929</xdr:colOff>
      <xdr:row>16</xdr:row>
      <xdr:rowOff>89798</xdr:rowOff>
    </xdr:from>
    <xdr:to>
      <xdr:col>5</xdr:col>
      <xdr:colOff>76970</xdr:colOff>
      <xdr:row>19</xdr:row>
      <xdr:rowOff>141112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78D5528-AA74-7E7D-EF69-189AAA3F94CC}"/>
            </a:ext>
          </a:extLst>
        </xdr:cNvPr>
        <xdr:cNvSpPr txBox="1"/>
      </xdr:nvSpPr>
      <xdr:spPr>
        <a:xfrm>
          <a:off x="602929" y="3514950"/>
          <a:ext cx="4701566" cy="6093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8100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Prepared by:</a:t>
          </a:r>
        </a:p>
        <a:p>
          <a:r>
            <a:rPr lang="en-IN" sz="11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Jahnvi Bhateja</a:t>
          </a:r>
        </a:p>
        <a:p>
          <a:r>
            <a:rPr lang="en-IN" sz="110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(Finance &amp; Business Analysis Portfolio)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3</xdr:row>
      <xdr:rowOff>12700</xdr:rowOff>
    </xdr:from>
    <xdr:to>
      <xdr:col>4</xdr:col>
      <xdr:colOff>508000</xdr:colOff>
      <xdr:row>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B15948-2E5B-61A8-7C2B-6F82AF29A646}"/>
            </a:ext>
          </a:extLst>
        </xdr:cNvPr>
        <xdr:cNvSpPr txBox="1"/>
      </xdr:nvSpPr>
      <xdr:spPr>
        <a:xfrm>
          <a:off x="44450" y="590550"/>
          <a:ext cx="2901950" cy="558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  <a:scene3d>
          <a:camera prst="orthographicFront"/>
          <a:lightRig rig="threePt" dir="t"/>
        </a:scene3d>
        <a:sp3d extrusionH="158750" contourW="12700">
          <a:bevelT/>
          <a:bevelB w="63500" h="101600"/>
          <a:extrusionClr>
            <a:srgbClr val="002060"/>
          </a:extrusionClr>
          <a:contourClr>
            <a:srgbClr val="002060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/>
            <a:t>Valuation Date</a:t>
          </a:r>
        </a:p>
        <a:p>
          <a:r>
            <a:rPr lang="en-IN" sz="800"/>
            <a:t>Currency</a:t>
          </a:r>
        </a:p>
        <a:p>
          <a:r>
            <a:rPr lang="en-IN" sz="800"/>
            <a:t>Model Version</a:t>
          </a:r>
        </a:p>
        <a:p>
          <a:r>
            <a:rPr lang="en-IN" sz="800"/>
            <a:t>Prepared By</a:t>
          </a:r>
        </a:p>
      </xdr:txBody>
    </xdr:sp>
    <xdr:clientData/>
  </xdr:twoCellAnchor>
  <xdr:twoCellAnchor>
    <xdr:from>
      <xdr:col>0</xdr:col>
      <xdr:colOff>126723</xdr:colOff>
      <xdr:row>7</xdr:row>
      <xdr:rowOff>37226</xdr:rowOff>
    </xdr:from>
    <xdr:to>
      <xdr:col>3</xdr:col>
      <xdr:colOff>69573</xdr:colOff>
      <xdr:row>9</xdr:row>
      <xdr:rowOff>158405</xdr:rowOff>
    </xdr:to>
    <xdr:sp macro="" textlink="Intrinsic_Value_Per_Share">
      <xdr:nvSpPr>
        <xdr:cNvPr id="3" name="TextBox 2">
          <a:extLst>
            <a:ext uri="{FF2B5EF4-FFF2-40B4-BE49-F238E27FC236}">
              <a16:creationId xmlns:a16="http://schemas.microsoft.com/office/drawing/2014/main" id="{5B087EF7-9E9A-EBC6-24C2-FD6FDCD93227}"/>
            </a:ext>
          </a:extLst>
        </xdr:cNvPr>
        <xdr:cNvSpPr txBox="1"/>
      </xdr:nvSpPr>
      <xdr:spPr>
        <a:xfrm>
          <a:off x="126723" y="1690872"/>
          <a:ext cx="1768475" cy="465137"/>
        </a:xfrm>
        <a:prstGeom prst="rect">
          <a:avLst/>
        </a:prstGeom>
        <a:solidFill>
          <a:schemeClr val="accent5">
            <a:lumMod val="50000"/>
          </a:schemeClr>
        </a:solidFill>
        <a:ln w="28575" cmpd="sng">
          <a:solidFill>
            <a:schemeClr val="lt1">
              <a:shade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F4B330B-DEC5-4EA4-B9A9-1C0B62C7B472}" type="TxLink">
            <a:rPr lang="en-US" sz="2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2429.96</a:t>
          </a:fld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285473</xdr:colOff>
      <xdr:row>7</xdr:row>
      <xdr:rowOff>47050</xdr:rowOff>
    </xdr:from>
    <xdr:to>
      <xdr:col>6</xdr:col>
      <xdr:colOff>228323</xdr:colOff>
      <xdr:row>9</xdr:row>
      <xdr:rowOff>171105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DBBC18-7912-46AA-976E-0946C49F68B9}"/>
            </a:ext>
          </a:extLst>
        </xdr:cNvPr>
        <xdr:cNvSpPr txBox="1"/>
      </xdr:nvSpPr>
      <xdr:spPr>
        <a:xfrm>
          <a:off x="2111098" y="1700696"/>
          <a:ext cx="1768475" cy="468013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t>2307</a:t>
          </a:r>
        </a:p>
      </xdr:txBody>
    </xdr:sp>
    <xdr:clientData/>
  </xdr:twoCellAnchor>
  <xdr:twoCellAnchor>
    <xdr:from>
      <xdr:col>6</xdr:col>
      <xdr:colOff>450573</xdr:colOff>
      <xdr:row>7</xdr:row>
      <xdr:rowOff>53400</xdr:rowOff>
    </xdr:from>
    <xdr:to>
      <xdr:col>9</xdr:col>
      <xdr:colOff>393423</xdr:colOff>
      <xdr:row>10</xdr:row>
      <xdr:rowOff>5476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DB51634-B83F-4C93-9910-829EC9BB1551}"/>
            </a:ext>
          </a:extLst>
        </xdr:cNvPr>
        <xdr:cNvSpPr txBox="1"/>
      </xdr:nvSpPr>
      <xdr:spPr>
        <a:xfrm>
          <a:off x="4101823" y="1707046"/>
          <a:ext cx="1768475" cy="468013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t>2429.96</a:t>
          </a:r>
        </a:p>
      </xdr:txBody>
    </xdr:sp>
    <xdr:clientData/>
  </xdr:twoCellAnchor>
  <xdr:twoCellAnchor>
    <xdr:from>
      <xdr:col>0</xdr:col>
      <xdr:colOff>126723</xdr:colOff>
      <xdr:row>11</xdr:row>
      <xdr:rowOff>156818</xdr:rowOff>
    </xdr:from>
    <xdr:to>
      <xdr:col>3</xdr:col>
      <xdr:colOff>69573</xdr:colOff>
      <xdr:row>14</xdr:row>
      <xdr:rowOff>106018</xdr:rowOff>
    </xdr:to>
    <xdr:sp macro="" textlink="DCF_valuation!B7">
      <xdr:nvSpPr>
        <xdr:cNvPr id="16" name="TextBox 15">
          <a:extLst>
            <a:ext uri="{FF2B5EF4-FFF2-40B4-BE49-F238E27FC236}">
              <a16:creationId xmlns:a16="http://schemas.microsoft.com/office/drawing/2014/main" id="{AFFD7632-0CA1-4F27-B431-5638ACAD4693}"/>
            </a:ext>
          </a:extLst>
        </xdr:cNvPr>
        <xdr:cNvSpPr txBox="1"/>
      </xdr:nvSpPr>
      <xdr:spPr>
        <a:xfrm>
          <a:off x="126723" y="2503557"/>
          <a:ext cx="1765024" cy="473765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5E9C65F-167F-4CF2-B572-2DF75BF5D9F4}" type="TxLink">
            <a:rPr lang="en-US" sz="2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884047.52</a:t>
          </a:fld>
          <a:endParaRPr lang="en-IN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285473</xdr:colOff>
      <xdr:row>11</xdr:row>
      <xdr:rowOff>169518</xdr:rowOff>
    </xdr:from>
    <xdr:to>
      <xdr:col>6</xdr:col>
      <xdr:colOff>228323</xdr:colOff>
      <xdr:row>14</xdr:row>
      <xdr:rowOff>118718</xdr:rowOff>
    </xdr:to>
    <xdr:sp macro="" textlink="Terminal_value!B6">
      <xdr:nvSpPr>
        <xdr:cNvPr id="17" name="TextBox 16">
          <a:extLst>
            <a:ext uri="{FF2B5EF4-FFF2-40B4-BE49-F238E27FC236}">
              <a16:creationId xmlns:a16="http://schemas.microsoft.com/office/drawing/2014/main" id="{1AF8B07B-5EF8-4A56-908F-5684ABEE6F99}"/>
            </a:ext>
          </a:extLst>
        </xdr:cNvPr>
        <xdr:cNvSpPr txBox="1"/>
      </xdr:nvSpPr>
      <xdr:spPr>
        <a:xfrm>
          <a:off x="2107647" y="2516257"/>
          <a:ext cx="1765024" cy="473765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7880AAB-8B9E-4DD3-80D5-ED70054596B3}" type="TxLink">
            <a:rPr lang="en-US" sz="2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7.74%</a:t>
          </a:fld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450573</xdr:colOff>
      <xdr:row>12</xdr:row>
      <xdr:rowOff>1013</xdr:rowOff>
    </xdr:from>
    <xdr:to>
      <xdr:col>9</xdr:col>
      <xdr:colOff>393423</xdr:colOff>
      <xdr:row>14</xdr:row>
      <xdr:rowOff>125068</xdr:rowOff>
    </xdr:to>
    <xdr:sp macro="" textlink="Terminal_value!B7">
      <xdr:nvSpPr>
        <xdr:cNvPr id="18" name="TextBox 17">
          <a:extLst>
            <a:ext uri="{FF2B5EF4-FFF2-40B4-BE49-F238E27FC236}">
              <a16:creationId xmlns:a16="http://schemas.microsoft.com/office/drawing/2014/main" id="{A888E42C-5FCB-472C-9EE3-4B0A8148C72C}"/>
            </a:ext>
          </a:extLst>
        </xdr:cNvPr>
        <xdr:cNvSpPr txBox="1"/>
      </xdr:nvSpPr>
      <xdr:spPr>
        <a:xfrm>
          <a:off x="4094921" y="2522607"/>
          <a:ext cx="1765024" cy="473765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7D8F1ED-E90C-4C68-B207-7830ED749C12}" type="TxLink">
            <a:rPr lang="en-US" sz="2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3.50%</a:t>
          </a:fld>
          <a:endParaRPr lang="en-IN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126233</xdr:colOff>
      <xdr:row>9</xdr:row>
      <xdr:rowOff>164755</xdr:rowOff>
    </xdr:from>
    <xdr:to>
      <xdr:col>3</xdr:col>
      <xdr:colOff>69083</xdr:colOff>
      <xdr:row>11</xdr:row>
      <xdr:rowOff>24525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3CF94D-5CD2-4848-8FB1-7AA8FB7E8292}"/>
            </a:ext>
          </a:extLst>
        </xdr:cNvPr>
        <xdr:cNvSpPr txBox="1"/>
      </xdr:nvSpPr>
      <xdr:spPr>
        <a:xfrm>
          <a:off x="126233" y="2162359"/>
          <a:ext cx="1768475" cy="2037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2060"/>
              </a:solidFill>
              <a:latin typeface="Times New Roman"/>
              <a:cs typeface="Times New Roman"/>
            </a:rPr>
            <a:t>INTRINSIC</a:t>
          </a:r>
          <a:r>
            <a:rPr lang="en-US" sz="1000" b="1" i="0" u="none" strike="noStrike" baseline="0">
              <a:solidFill>
                <a:srgbClr val="002060"/>
              </a:solidFill>
              <a:latin typeface="Times New Roman"/>
              <a:cs typeface="Times New Roman"/>
            </a:rPr>
            <a:t> VALUE</a:t>
          </a:r>
          <a:endParaRPr lang="en-US" sz="1000" b="1" i="0" u="none" strike="noStrike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285960</xdr:colOff>
      <xdr:row>10</xdr:row>
      <xdr:rowOff>1080</xdr:rowOff>
    </xdr:from>
    <xdr:to>
      <xdr:col>6</xdr:col>
      <xdr:colOff>228810</xdr:colOff>
      <xdr:row>11</xdr:row>
      <xdr:rowOff>32829</xdr:rowOff>
    </xdr:to>
    <xdr:sp macro="" textlink="Intrinsic_Value_Per_Share">
      <xdr:nvSpPr>
        <xdr:cNvPr id="20" name="TextBox 19">
          <a:extLst>
            <a:ext uri="{FF2B5EF4-FFF2-40B4-BE49-F238E27FC236}">
              <a16:creationId xmlns:a16="http://schemas.microsoft.com/office/drawing/2014/main" id="{1BAC9876-F441-4CD0-B3AC-1983AB374581}"/>
            </a:ext>
          </a:extLst>
        </xdr:cNvPr>
        <xdr:cNvSpPr txBox="1"/>
      </xdr:nvSpPr>
      <xdr:spPr>
        <a:xfrm>
          <a:off x="2111585" y="2170663"/>
          <a:ext cx="1768475" cy="2037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CURRENT</a:t>
          </a:r>
          <a:r>
            <a:rPr lang="en-IN" sz="1050" b="1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MARKET PRICE</a:t>
          </a:r>
          <a:endParaRPr lang="en-IN" sz="105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448955</xdr:colOff>
      <xdr:row>10</xdr:row>
      <xdr:rowOff>10452</xdr:rowOff>
    </xdr:from>
    <xdr:to>
      <xdr:col>9</xdr:col>
      <xdr:colOff>391806</xdr:colOff>
      <xdr:row>11</xdr:row>
      <xdr:rowOff>42201</xdr:rowOff>
    </xdr:to>
    <xdr:sp macro="" textlink="Intrinsic_Value_Per_Share">
      <xdr:nvSpPr>
        <xdr:cNvPr id="21" name="TextBox 20">
          <a:extLst>
            <a:ext uri="{FF2B5EF4-FFF2-40B4-BE49-F238E27FC236}">
              <a16:creationId xmlns:a16="http://schemas.microsoft.com/office/drawing/2014/main" id="{C41D4492-AE57-46BE-9541-728A95A729FE}"/>
            </a:ext>
          </a:extLst>
        </xdr:cNvPr>
        <xdr:cNvSpPr txBox="1"/>
      </xdr:nvSpPr>
      <xdr:spPr>
        <a:xfrm>
          <a:off x="4100205" y="2180035"/>
          <a:ext cx="1768476" cy="2037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UPSIDE/DOWNSIDE</a:t>
          </a:r>
        </a:p>
      </xdr:txBody>
    </xdr:sp>
    <xdr:clientData/>
  </xdr:twoCellAnchor>
  <xdr:twoCellAnchor>
    <xdr:from>
      <xdr:col>0</xdr:col>
      <xdr:colOff>126233</xdr:colOff>
      <xdr:row>14</xdr:row>
      <xdr:rowOff>109324</xdr:rowOff>
    </xdr:from>
    <xdr:to>
      <xdr:col>3</xdr:col>
      <xdr:colOff>69083</xdr:colOff>
      <xdr:row>15</xdr:row>
      <xdr:rowOff>141073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AF5E84F-9970-40C8-BB9E-532DDB1A0572}"/>
            </a:ext>
          </a:extLst>
        </xdr:cNvPr>
        <xdr:cNvSpPr txBox="1"/>
      </xdr:nvSpPr>
      <xdr:spPr>
        <a:xfrm>
          <a:off x="126233" y="2980628"/>
          <a:ext cx="1765024" cy="20660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2060"/>
              </a:solidFill>
              <a:latin typeface="Times New Roman"/>
              <a:cs typeface="Times New Roman"/>
            </a:rPr>
            <a:t>ENTERPRISE</a:t>
          </a:r>
          <a:r>
            <a:rPr lang="en-US" sz="1000" b="1" i="0" u="none" strike="noStrike" baseline="0">
              <a:solidFill>
                <a:srgbClr val="002060"/>
              </a:solidFill>
              <a:latin typeface="Times New Roman"/>
              <a:cs typeface="Times New Roman"/>
            </a:rPr>
            <a:t> VALUE</a:t>
          </a:r>
          <a:endParaRPr lang="en-US" sz="1000" b="1" i="0" u="none" strike="noStrike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285960</xdr:colOff>
      <xdr:row>14</xdr:row>
      <xdr:rowOff>122854</xdr:rowOff>
    </xdr:from>
    <xdr:to>
      <xdr:col>6</xdr:col>
      <xdr:colOff>228810</xdr:colOff>
      <xdr:row>15</xdr:row>
      <xdr:rowOff>154603</xdr:rowOff>
    </xdr:to>
    <xdr:sp macro="" textlink="Intrinsic_Value_Per_Share">
      <xdr:nvSpPr>
        <xdr:cNvPr id="23" name="TextBox 22">
          <a:extLst>
            <a:ext uri="{FF2B5EF4-FFF2-40B4-BE49-F238E27FC236}">
              <a16:creationId xmlns:a16="http://schemas.microsoft.com/office/drawing/2014/main" id="{14B7637E-EF2F-4802-8F7F-45B31A7786E1}"/>
            </a:ext>
          </a:extLst>
        </xdr:cNvPr>
        <xdr:cNvSpPr txBox="1"/>
      </xdr:nvSpPr>
      <xdr:spPr>
        <a:xfrm>
          <a:off x="2108134" y="2994158"/>
          <a:ext cx="1765024" cy="20660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WACC</a:t>
          </a:r>
        </a:p>
      </xdr:txBody>
    </xdr:sp>
    <xdr:clientData/>
  </xdr:twoCellAnchor>
  <xdr:twoCellAnchor>
    <xdr:from>
      <xdr:col>6</xdr:col>
      <xdr:colOff>448955</xdr:colOff>
      <xdr:row>14</xdr:row>
      <xdr:rowOff>132226</xdr:rowOff>
    </xdr:from>
    <xdr:to>
      <xdr:col>9</xdr:col>
      <xdr:colOff>391806</xdr:colOff>
      <xdr:row>15</xdr:row>
      <xdr:rowOff>163975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CAB73DA-AB55-4F25-B8FE-A02AA0DD0796}"/>
            </a:ext>
          </a:extLst>
        </xdr:cNvPr>
        <xdr:cNvSpPr txBox="1"/>
      </xdr:nvSpPr>
      <xdr:spPr>
        <a:xfrm>
          <a:off x="4093303" y="3003530"/>
          <a:ext cx="1765025" cy="20660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 b="1" i="0" u="none" strike="noStrike">
              <a:solidFill>
                <a:srgbClr val="002060"/>
              </a:solidFill>
              <a:latin typeface="Times New Roman"/>
              <a:cs typeface="Times New Roman"/>
            </a:rPr>
            <a:t>TERMINAL GROWTH</a:t>
          </a:r>
        </a:p>
      </xdr:txBody>
    </xdr:sp>
    <xdr:clientData/>
  </xdr:twoCellAnchor>
  <xdr:twoCellAnchor>
    <xdr:from>
      <xdr:col>6</xdr:col>
      <xdr:colOff>453722</xdr:colOff>
      <xdr:row>3</xdr:row>
      <xdr:rowOff>41042</xdr:rowOff>
    </xdr:from>
    <xdr:to>
      <xdr:col>9</xdr:col>
      <xdr:colOff>396572</xdr:colOff>
      <xdr:row>5</xdr:row>
      <xdr:rowOff>120129</xdr:rowOff>
    </xdr:to>
    <xdr:sp macro="" textlink="$P$3">
      <xdr:nvSpPr>
        <xdr:cNvPr id="25" name="TextBox 24">
          <a:extLst>
            <a:ext uri="{FF2B5EF4-FFF2-40B4-BE49-F238E27FC236}">
              <a16:creationId xmlns:a16="http://schemas.microsoft.com/office/drawing/2014/main" id="{5F2D82EE-0FEC-4314-872D-73A6A9132B7E}"/>
            </a:ext>
          </a:extLst>
        </xdr:cNvPr>
        <xdr:cNvSpPr txBox="1"/>
      </xdr:nvSpPr>
      <xdr:spPr>
        <a:xfrm>
          <a:off x="4104972" y="927396"/>
          <a:ext cx="1768475" cy="462733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A247757-0461-40AC-839F-0E6BCB36F847}" type="TxLink">
            <a:rPr lang="en-US" sz="18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HOLD</a:t>
          </a:fld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454209</xdr:colOff>
      <xdr:row>5</xdr:row>
      <xdr:rowOff>124265</xdr:rowOff>
    </xdr:from>
    <xdr:to>
      <xdr:col>9</xdr:col>
      <xdr:colOff>397059</xdr:colOff>
      <xdr:row>6</xdr:row>
      <xdr:rowOff>112719</xdr:rowOff>
    </xdr:to>
    <xdr:sp macro="" textlink="Intrinsic_Value_Per_Share">
      <xdr:nvSpPr>
        <xdr:cNvPr id="26" name="TextBox 25">
          <a:extLst>
            <a:ext uri="{FF2B5EF4-FFF2-40B4-BE49-F238E27FC236}">
              <a16:creationId xmlns:a16="http://schemas.microsoft.com/office/drawing/2014/main" id="{A5331770-CEDB-43DC-973E-022FFEEED5F3}"/>
            </a:ext>
          </a:extLst>
        </xdr:cNvPr>
        <xdr:cNvSpPr txBox="1"/>
      </xdr:nvSpPr>
      <xdr:spPr>
        <a:xfrm>
          <a:off x="4105459" y="1394265"/>
          <a:ext cx="1768475" cy="20012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3175" cmpd="sng">
          <a:solidFill>
            <a:schemeClr val="tx2">
              <a:lumMod val="50000"/>
            </a:schemeClr>
          </a:solidFill>
        </a:ln>
        <a:effectLst>
          <a:softEdge rad="31750"/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RECOMMENDATION</a:t>
          </a:r>
        </a:p>
      </xdr:txBody>
    </xdr:sp>
    <xdr:clientData/>
  </xdr:twoCellAnchor>
  <xdr:twoCellAnchor>
    <xdr:from>
      <xdr:col>0</xdr:col>
      <xdr:colOff>138280</xdr:colOff>
      <xdr:row>16</xdr:row>
      <xdr:rowOff>107345</xdr:rowOff>
    </xdr:from>
    <xdr:to>
      <xdr:col>4</xdr:col>
      <xdr:colOff>570204</xdr:colOff>
      <xdr:row>25</xdr:row>
      <xdr:rowOff>147615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191E633-6AF0-29B0-33C0-4A4C31914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90714</xdr:colOff>
      <xdr:row>16</xdr:row>
      <xdr:rowOff>121696</xdr:rowOff>
    </xdr:from>
    <xdr:to>
      <xdr:col>9</xdr:col>
      <xdr:colOff>602602</xdr:colOff>
      <xdr:row>25</xdr:row>
      <xdr:rowOff>160574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0FC9306-DB0E-4586-88E2-73B1B25AF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143320</xdr:colOff>
      <xdr:row>26</xdr:row>
      <xdr:rowOff>136413</xdr:rowOff>
    </xdr:from>
    <xdr:to>
      <xdr:col>9</xdr:col>
      <xdr:colOff>584868</xdr:colOff>
      <xdr:row>37</xdr:row>
      <xdr:rowOff>19284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EFE9AC5F-6AE9-4ADD-A180-4FE9B4357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20" y="5171963"/>
              <a:ext cx="5927948" cy="18386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89985</xdr:colOff>
      <xdr:row>4</xdr:row>
      <xdr:rowOff>188000</xdr:rowOff>
    </xdr:from>
    <xdr:to>
      <xdr:col>13</xdr:col>
      <xdr:colOff>135999</xdr:colOff>
      <xdr:row>21</xdr:row>
      <xdr:rowOff>81219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D498E0-C93A-4C52-9201-E991E5CBD26D}"/>
            </a:ext>
          </a:extLst>
        </xdr:cNvPr>
        <xdr:cNvSpPr txBox="1"/>
      </xdr:nvSpPr>
      <xdr:spPr>
        <a:xfrm>
          <a:off x="6195754" y="1250404"/>
          <a:ext cx="1877745" cy="305600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  <a:scene3d>
          <a:camera prst="orthographicFront"/>
          <a:lightRig rig="threePt" dir="t"/>
        </a:scene3d>
        <a:sp3d extrusionH="158750" contourW="12700">
          <a:bevelT/>
          <a:bevelB w="63500" h="101600"/>
          <a:extrusionClr>
            <a:srgbClr val="002060"/>
          </a:extrusionClr>
          <a:contourClr>
            <a:srgbClr val="002060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Investment View</a:t>
          </a:r>
        </a:p>
        <a:p>
          <a:endParaRPr lang="en-IN" sz="1100"/>
        </a:p>
        <a:p>
          <a:r>
            <a:rPr lang="en-IN" sz="1100"/>
            <a:t>• Strong cash generation</a:t>
          </a:r>
        </a:p>
        <a:p>
          <a:endParaRPr lang="en-IN" sz="1100"/>
        </a:p>
        <a:p>
          <a:r>
            <a:rPr lang="en-IN" sz="1100"/>
            <a:t>• Debt free balance sheet</a:t>
          </a:r>
        </a:p>
        <a:p>
          <a:endParaRPr lang="en-IN" sz="1100"/>
        </a:p>
        <a:p>
          <a:r>
            <a:rPr lang="en-IN" sz="1100"/>
            <a:t>• Stable operating margins</a:t>
          </a:r>
        </a:p>
        <a:p>
          <a:endParaRPr lang="en-IN" sz="1100"/>
        </a:p>
        <a:p>
          <a:r>
            <a:rPr lang="en-IN" sz="1100"/>
            <a:t>• Consistent ROE</a:t>
          </a:r>
        </a:p>
        <a:p>
          <a:endParaRPr lang="en-IN" sz="1100"/>
        </a:p>
        <a:p>
          <a:r>
            <a:rPr lang="en-IN" sz="1100"/>
            <a:t>• Long-term growth driven by AI and digital transformation</a:t>
          </a:r>
        </a:p>
        <a:p>
          <a:endParaRPr lang="en-IN" sz="1100"/>
        </a:p>
        <a:p>
          <a:r>
            <a:rPr lang="en-IN" sz="1100"/>
            <a:t>Recommendation:HOLD</a:t>
          </a:r>
        </a:p>
      </xdr:txBody>
    </xdr:sp>
    <xdr:clientData/>
  </xdr:twoCellAnchor>
  <xdr:twoCellAnchor>
    <xdr:from>
      <xdr:col>10</xdr:col>
      <xdr:colOff>138079</xdr:colOff>
      <xdr:row>23</xdr:row>
      <xdr:rowOff>119310</xdr:rowOff>
    </xdr:from>
    <xdr:to>
      <xdr:col>13</xdr:col>
      <xdr:colOff>110470</xdr:colOff>
      <xdr:row>36</xdr:row>
      <xdr:rowOff>154131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C01BA95-F28D-60FE-D0ED-A462D12DEC13}"/>
            </a:ext>
          </a:extLst>
        </xdr:cNvPr>
        <xdr:cNvSpPr txBox="1"/>
      </xdr:nvSpPr>
      <xdr:spPr>
        <a:xfrm>
          <a:off x="6223496" y="4524623"/>
          <a:ext cx="1798016" cy="22705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  <a:scene3d>
          <a:camera prst="orthographicFront"/>
          <a:lightRig rig="threePt" dir="t"/>
        </a:scene3d>
        <a:sp3d extrusionH="158750" contourW="12700">
          <a:bevelT/>
          <a:bevelB w="63500" h="101600"/>
          <a:extrusionClr>
            <a:srgbClr val="002060"/>
          </a:extrusionClr>
          <a:contourClr>
            <a:srgbClr val="002060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Key Risks</a:t>
          </a:r>
        </a:p>
        <a:p>
          <a:endParaRPr lang="en-IN" sz="1100"/>
        </a:p>
        <a:p>
          <a:r>
            <a:rPr lang="en-IN" sz="1100"/>
            <a:t>• Global IT slowdown</a:t>
          </a:r>
        </a:p>
        <a:p>
          <a:endParaRPr lang="en-IN" sz="1100"/>
        </a:p>
        <a:p>
          <a:r>
            <a:rPr lang="en-IN" sz="1100"/>
            <a:t>• Rupee appreciation</a:t>
          </a:r>
        </a:p>
        <a:p>
          <a:endParaRPr lang="en-IN" sz="1100"/>
        </a:p>
        <a:p>
          <a:r>
            <a:rPr lang="en-IN" sz="1100"/>
            <a:t>• Pricing pressure</a:t>
          </a:r>
        </a:p>
        <a:p>
          <a:endParaRPr lang="en-IN" sz="1100"/>
        </a:p>
        <a:p>
          <a:r>
            <a:rPr lang="en-IN" sz="1100"/>
            <a:t>• Large client concentration</a:t>
          </a:r>
        </a:p>
        <a:p>
          <a:endParaRPr lang="en-IN" sz="1100"/>
        </a:p>
        <a:p>
          <a:r>
            <a:rPr lang="en-IN" sz="1100"/>
            <a:t>• Geopolitical uncertainty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66F2-1924-4C41-B21D-E9EEB71AC93C}">
  <dimension ref="B9:Q16"/>
  <sheetViews>
    <sheetView zoomScale="81" zoomScaleNormal="99" workbookViewId="0">
      <selection activeCell="S10" sqref="S10"/>
    </sheetView>
  </sheetViews>
  <sheetFormatPr defaultRowHeight="14.5" x14ac:dyDescent="0.35"/>
  <cols>
    <col min="1" max="1" width="6.90625" customWidth="1"/>
    <col min="2" max="2" width="23.36328125" customWidth="1"/>
    <col min="3" max="3" width="23" customWidth="1"/>
    <col min="4" max="4" width="11.08984375" customWidth="1"/>
    <col min="16" max="16" width="1.1796875" customWidth="1"/>
    <col min="17" max="17" width="8.7265625" hidden="1" customWidth="1"/>
  </cols>
  <sheetData>
    <row r="9" spans="2:3" ht="15" thickBot="1" x14ac:dyDescent="0.4"/>
    <row r="10" spans="2:3" ht="28.5" thickBot="1" x14ac:dyDescent="0.4">
      <c r="B10" s="8" t="s">
        <v>0</v>
      </c>
      <c r="C10" s="1" t="s">
        <v>1</v>
      </c>
    </row>
    <row r="11" spans="2:3" ht="15" thickBot="1" x14ac:dyDescent="0.4">
      <c r="B11" s="7" t="s">
        <v>2</v>
      </c>
      <c r="C11" s="3" t="s">
        <v>3</v>
      </c>
    </row>
    <row r="12" spans="2:3" ht="28.5" thickBot="1" x14ac:dyDescent="0.4">
      <c r="B12" s="2" t="s">
        <v>4</v>
      </c>
      <c r="C12" s="3" t="s">
        <v>5</v>
      </c>
    </row>
    <row r="13" spans="2:3" ht="15" thickBot="1" x14ac:dyDescent="0.4">
      <c r="B13" s="2" t="s">
        <v>6</v>
      </c>
      <c r="C13" s="3" t="s">
        <v>7</v>
      </c>
    </row>
    <row r="14" spans="2:3" ht="15" thickBot="1" x14ac:dyDescent="0.4">
      <c r="B14" s="2" t="s">
        <v>8</v>
      </c>
      <c r="C14" s="4" t="s">
        <v>9</v>
      </c>
    </row>
    <row r="15" spans="2:3" ht="15" thickBot="1" x14ac:dyDescent="0.4">
      <c r="B15" s="2" t="s">
        <v>10</v>
      </c>
      <c r="C15" s="3" t="s">
        <v>11</v>
      </c>
    </row>
    <row r="16" spans="2:3" ht="20" customHeight="1" thickBot="1" x14ac:dyDescent="0.4">
      <c r="B16" s="5" t="s">
        <v>12</v>
      </c>
      <c r="C16" s="6" t="s">
        <v>13</v>
      </c>
    </row>
  </sheetData>
  <pageMargins left="0.7" right="0.7" top="0.75" bottom="0.75" header="0.3" footer="0.3"/>
  <pageSetup paperSize="256" orientation="portrait" horizontalDpi="203" verticalDpi="203" r:id="rId1"/>
  <headerFooter>
    <oddFooter xml:space="preserve">&amp;C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81AC-CF66-4D4E-831D-42AF3CF7A7B7}">
  <dimension ref="A1:C72"/>
  <sheetViews>
    <sheetView zoomScale="105" workbookViewId="0">
      <selection activeCell="B64" sqref="B64"/>
    </sheetView>
  </sheetViews>
  <sheetFormatPr defaultRowHeight="14" x14ac:dyDescent="0.3"/>
  <cols>
    <col min="1" max="1" width="36.08984375" style="10" customWidth="1"/>
    <col min="2" max="2" width="22.6328125" style="10" customWidth="1"/>
    <col min="3" max="3" width="41.26953125" style="10" customWidth="1"/>
    <col min="4" max="16384" width="8.7265625" style="10"/>
  </cols>
  <sheetData>
    <row r="1" spans="1:3" x14ac:dyDescent="0.3">
      <c r="A1" s="166" t="s">
        <v>178</v>
      </c>
      <c r="B1" s="166"/>
      <c r="C1" s="166"/>
    </row>
    <row r="2" spans="1:3" x14ac:dyDescent="0.3">
      <c r="A2" s="166"/>
      <c r="B2" s="166"/>
      <c r="C2" s="166"/>
    </row>
    <row r="4" spans="1:3" ht="17" thickBot="1" x14ac:dyDescent="0.4">
      <c r="A4" s="93" t="s">
        <v>14</v>
      </c>
      <c r="B4" s="12"/>
      <c r="C4" s="12"/>
    </row>
    <row r="5" spans="1:3" ht="16.5" x14ac:dyDescent="0.35">
      <c r="A5" s="95" t="s">
        <v>15</v>
      </c>
      <c r="B5" s="96" t="s">
        <v>16</v>
      </c>
      <c r="C5" s="97" t="s">
        <v>17</v>
      </c>
    </row>
    <row r="6" spans="1:3" ht="16.5" x14ac:dyDescent="0.35">
      <c r="A6" s="98" t="s">
        <v>18</v>
      </c>
      <c r="B6" s="81" t="s">
        <v>21</v>
      </c>
      <c r="C6" s="99" t="s">
        <v>207</v>
      </c>
    </row>
    <row r="7" spans="1:3" ht="16.5" x14ac:dyDescent="0.35">
      <c r="A7" s="98" t="s">
        <v>6</v>
      </c>
      <c r="B7" s="81" t="s">
        <v>22</v>
      </c>
      <c r="C7" s="99" t="s">
        <v>206</v>
      </c>
    </row>
    <row r="8" spans="1:3" ht="16.5" x14ac:dyDescent="0.35">
      <c r="A8" s="98" t="s">
        <v>19</v>
      </c>
      <c r="B8" s="81" t="s">
        <v>23</v>
      </c>
      <c r="C8" s="99" t="s">
        <v>205</v>
      </c>
    </row>
    <row r="9" spans="1:3" ht="16.5" x14ac:dyDescent="0.35">
      <c r="A9" s="98" t="s">
        <v>10</v>
      </c>
      <c r="B9" s="81" t="s">
        <v>24</v>
      </c>
      <c r="C9" s="99" t="s">
        <v>204</v>
      </c>
    </row>
    <row r="10" spans="1:3" ht="16.5" x14ac:dyDescent="0.35">
      <c r="A10" s="98" t="s">
        <v>8</v>
      </c>
      <c r="B10" s="160">
        <v>46226</v>
      </c>
      <c r="C10" s="99" t="s">
        <v>203</v>
      </c>
    </row>
    <row r="11" spans="1:3" ht="16.5" x14ac:dyDescent="0.35">
      <c r="A11" s="157" t="s">
        <v>199</v>
      </c>
      <c r="B11" s="158" t="s">
        <v>200</v>
      </c>
      <c r="C11" s="159" t="s">
        <v>201</v>
      </c>
    </row>
    <row r="12" spans="1:3" ht="17" thickBot="1" x14ac:dyDescent="0.4">
      <c r="A12" s="100" t="s">
        <v>20</v>
      </c>
      <c r="B12" s="101" t="s">
        <v>74</v>
      </c>
      <c r="C12" s="102" t="s">
        <v>202</v>
      </c>
    </row>
    <row r="13" spans="1:3" ht="16.5" x14ac:dyDescent="0.35">
      <c r="A13" s="12"/>
      <c r="B13" s="12"/>
      <c r="C13" s="12"/>
    </row>
    <row r="14" spans="1:3" ht="17" thickBot="1" x14ac:dyDescent="0.4">
      <c r="A14" s="165" t="s">
        <v>26</v>
      </c>
      <c r="B14" s="165"/>
      <c r="C14" s="12"/>
    </row>
    <row r="15" spans="1:3" ht="16.5" x14ac:dyDescent="0.35">
      <c r="A15" s="95" t="s">
        <v>15</v>
      </c>
      <c r="B15" s="96" t="s">
        <v>16</v>
      </c>
      <c r="C15" s="97" t="s">
        <v>34</v>
      </c>
    </row>
    <row r="16" spans="1:3" ht="16.5" x14ac:dyDescent="0.35">
      <c r="A16" s="98" t="s">
        <v>27</v>
      </c>
      <c r="B16" s="82">
        <f>Historical_Financials!B35</f>
        <v>0.1021650124358422</v>
      </c>
      <c r="C16" s="99" t="s">
        <v>35</v>
      </c>
    </row>
    <row r="17" spans="1:3" ht="16.5" x14ac:dyDescent="0.35">
      <c r="A17" s="98" t="s">
        <v>28</v>
      </c>
      <c r="B17" s="82">
        <f>AVERAGE('Forecast Assumptions'!B6:F6)</f>
        <v>5.6999999999999995E-2</v>
      </c>
      <c r="C17" s="99" t="s">
        <v>36</v>
      </c>
    </row>
    <row r="18" spans="1:3" ht="16.5" x14ac:dyDescent="0.35">
      <c r="A18" s="98" t="s">
        <v>29</v>
      </c>
      <c r="B18" s="82">
        <f>Historical_Financials!B36</f>
        <v>0.24866598511578583</v>
      </c>
      <c r="C18" s="99" t="s">
        <v>37</v>
      </c>
    </row>
    <row r="19" spans="1:3" ht="16.5" x14ac:dyDescent="0.35">
      <c r="A19" s="98" t="s">
        <v>30</v>
      </c>
      <c r="B19" s="82">
        <f>Historical_Financials!B37</f>
        <v>0.24914644276748191</v>
      </c>
      <c r="C19" s="99" t="s">
        <v>38</v>
      </c>
    </row>
    <row r="20" spans="1:3" ht="16.5" x14ac:dyDescent="0.35">
      <c r="A20" s="98" t="s">
        <v>31</v>
      </c>
      <c r="B20" s="82">
        <f>Historical_Financials!B39</f>
        <v>2.2181899140738762E-2</v>
      </c>
      <c r="C20" s="99" t="s">
        <v>39</v>
      </c>
    </row>
    <row r="21" spans="1:3" ht="16.5" x14ac:dyDescent="0.35">
      <c r="A21" s="98" t="s">
        <v>32</v>
      </c>
      <c r="B21" s="82">
        <f>Historical_Financials!B41</f>
        <v>1.4830907051993072E-2</v>
      </c>
      <c r="C21" s="99" t="s">
        <v>39</v>
      </c>
    </row>
    <row r="22" spans="1:3" ht="17" thickBot="1" x14ac:dyDescent="0.4">
      <c r="A22" s="100" t="s">
        <v>33</v>
      </c>
      <c r="B22" s="161">
        <f>Historical_Financials!B43</f>
        <v>0.20827533673474019</v>
      </c>
      <c r="C22" s="102" t="s">
        <v>39</v>
      </c>
    </row>
    <row r="23" spans="1:3" ht="16.5" x14ac:dyDescent="0.35">
      <c r="A23" s="12"/>
      <c r="B23" s="12"/>
      <c r="C23" s="12"/>
    </row>
    <row r="24" spans="1:3" ht="17" thickBot="1" x14ac:dyDescent="0.4">
      <c r="A24" s="93" t="s">
        <v>47</v>
      </c>
      <c r="B24" s="12"/>
      <c r="C24" s="12"/>
    </row>
    <row r="25" spans="1:3" ht="16.5" x14ac:dyDescent="0.35">
      <c r="A25" s="95" t="s">
        <v>15</v>
      </c>
      <c r="B25" s="96" t="s">
        <v>16</v>
      </c>
      <c r="C25" s="97" t="s">
        <v>17</v>
      </c>
    </row>
    <row r="26" spans="1:3" ht="16.5" x14ac:dyDescent="0.35">
      <c r="A26" s="98" t="s">
        <v>40</v>
      </c>
      <c r="B26" s="82">
        <f>'CAPM &amp; WACC'!B6</f>
        <v>6.1800000000000001E-2</v>
      </c>
      <c r="C26" s="99" t="s">
        <v>43</v>
      </c>
    </row>
    <row r="27" spans="1:3" ht="16.5" x14ac:dyDescent="0.35">
      <c r="A27" s="98" t="s">
        <v>41</v>
      </c>
      <c r="B27" s="81">
        <f>'CAPM &amp; WACC'!B7</f>
        <v>0.24</v>
      </c>
      <c r="C27" s="99" t="s">
        <v>44</v>
      </c>
    </row>
    <row r="28" spans="1:3" ht="17" thickBot="1" x14ac:dyDescent="0.4">
      <c r="A28" s="100" t="s">
        <v>42</v>
      </c>
      <c r="B28" s="161">
        <f>'CAPM &amp; WACC'!B9</f>
        <v>6.2300000000000001E-2</v>
      </c>
      <c r="C28" s="102" t="s">
        <v>45</v>
      </c>
    </row>
    <row r="29" spans="1:3" ht="16.5" x14ac:dyDescent="0.35">
      <c r="A29" s="12"/>
      <c r="B29" s="12"/>
      <c r="C29" s="12"/>
    </row>
    <row r="30" spans="1:3" ht="17" thickBot="1" x14ac:dyDescent="0.4">
      <c r="A30" s="93" t="s">
        <v>46</v>
      </c>
      <c r="B30" s="12"/>
      <c r="C30" s="12"/>
    </row>
    <row r="31" spans="1:3" ht="16.5" x14ac:dyDescent="0.35">
      <c r="A31" s="95" t="s">
        <v>15</v>
      </c>
      <c r="B31" s="96" t="s">
        <v>48</v>
      </c>
      <c r="C31" s="97" t="s">
        <v>17</v>
      </c>
    </row>
    <row r="32" spans="1:3" ht="16.5" x14ac:dyDescent="0.35">
      <c r="A32" s="98" t="s">
        <v>70</v>
      </c>
      <c r="B32" s="81">
        <f>'CAPM &amp; WACC'!B14</f>
        <v>1227</v>
      </c>
      <c r="C32" s="99"/>
    </row>
    <row r="33" spans="1:3" ht="16.5" x14ac:dyDescent="0.35">
      <c r="A33" s="98" t="s">
        <v>60</v>
      </c>
      <c r="B33" s="81">
        <f>'CAPM &amp; WACC'!B15</f>
        <v>11283</v>
      </c>
      <c r="C33" s="99"/>
    </row>
    <row r="34" spans="1:3" ht="16.5" x14ac:dyDescent="0.35">
      <c r="A34" s="98" t="s">
        <v>144</v>
      </c>
      <c r="B34" s="82">
        <f>'CAPM &amp; WACC'!B16</f>
        <v>0.10874767349109279</v>
      </c>
      <c r="C34" s="99" t="s">
        <v>71</v>
      </c>
    </row>
    <row r="35" spans="1:3" ht="17" thickBot="1" x14ac:dyDescent="0.4">
      <c r="A35" s="100" t="s">
        <v>208</v>
      </c>
      <c r="B35" s="161">
        <f>'CAPM &amp; WACC'!B18</f>
        <v>8.1560755118319589E-2</v>
      </c>
      <c r="C35" s="102" t="s">
        <v>72</v>
      </c>
    </row>
    <row r="36" spans="1:3" ht="16.5" x14ac:dyDescent="0.35">
      <c r="A36" s="12"/>
      <c r="B36" s="12"/>
      <c r="C36" s="12"/>
    </row>
    <row r="37" spans="1:3" ht="17" thickBot="1" x14ac:dyDescent="0.4">
      <c r="A37" s="93" t="s">
        <v>49</v>
      </c>
      <c r="B37" s="12"/>
      <c r="C37" s="12"/>
    </row>
    <row r="38" spans="1:3" ht="16.5" x14ac:dyDescent="0.35">
      <c r="A38" s="95" t="s">
        <v>15</v>
      </c>
      <c r="B38" s="97" t="s">
        <v>16</v>
      </c>
      <c r="C38" s="12"/>
    </row>
    <row r="39" spans="1:3" ht="16.5" x14ac:dyDescent="0.35">
      <c r="A39" s="98" t="s">
        <v>145</v>
      </c>
      <c r="B39" s="99">
        <f>'CAPM &amp; WACC'!B22</f>
        <v>814500</v>
      </c>
      <c r="C39" s="12"/>
    </row>
    <row r="40" spans="1:3" ht="16.5" x14ac:dyDescent="0.35">
      <c r="A40" s="98" t="s">
        <v>146</v>
      </c>
      <c r="B40" s="99">
        <f>'CAPM &amp; WACC'!B23</f>
        <v>11283</v>
      </c>
      <c r="C40" s="12"/>
    </row>
    <row r="41" spans="1:3" ht="16.5" x14ac:dyDescent="0.35">
      <c r="A41" s="98" t="s">
        <v>68</v>
      </c>
      <c r="B41" s="99">
        <f>'CAPM &amp; WACC'!B25</f>
        <v>0.99406126200013178</v>
      </c>
      <c r="C41" s="12"/>
    </row>
    <row r="42" spans="1:3" ht="17" thickBot="1" x14ac:dyDescent="0.4">
      <c r="A42" s="100" t="s">
        <v>69</v>
      </c>
      <c r="B42" s="102">
        <f>'CAPM &amp; WACC'!B26</f>
        <v>1.3770402970101273E-2</v>
      </c>
      <c r="C42" s="12"/>
    </row>
    <row r="43" spans="1:3" ht="16.5" x14ac:dyDescent="0.35">
      <c r="A43" s="12"/>
      <c r="B43" s="12"/>
      <c r="C43" s="12"/>
    </row>
    <row r="44" spans="1:3" ht="17" thickBot="1" x14ac:dyDescent="0.4">
      <c r="A44" s="93" t="s">
        <v>50</v>
      </c>
      <c r="B44" s="12"/>
      <c r="C44" s="12"/>
    </row>
    <row r="45" spans="1:3" ht="17" thickBot="1" x14ac:dyDescent="0.4">
      <c r="A45" s="103" t="s">
        <v>15</v>
      </c>
      <c r="B45" s="103" t="s">
        <v>16</v>
      </c>
      <c r="C45" s="12"/>
    </row>
    <row r="46" spans="1:3" ht="16.5" x14ac:dyDescent="0.35">
      <c r="A46" s="95" t="s">
        <v>54</v>
      </c>
      <c r="B46" s="162">
        <f>'CAPM &amp; WACC'!B30</f>
        <v>7.6752000000000001E-2</v>
      </c>
      <c r="C46" s="12"/>
    </row>
    <row r="47" spans="1:3" ht="16.5" x14ac:dyDescent="0.35">
      <c r="A47" s="98" t="s">
        <v>67</v>
      </c>
      <c r="B47" s="104">
        <f>'CAPM &amp; WACC'!B31</f>
        <v>8.1560755118319589E-2</v>
      </c>
      <c r="C47" s="12"/>
    </row>
    <row r="48" spans="1:3" ht="16.5" x14ac:dyDescent="0.35">
      <c r="A48" s="98" t="s">
        <v>68</v>
      </c>
      <c r="B48" s="104">
        <f>'CAPM &amp; WACC'!B32</f>
        <v>0.99406126200013178</v>
      </c>
      <c r="C48" s="12"/>
    </row>
    <row r="49" spans="1:3" ht="16.5" x14ac:dyDescent="0.35">
      <c r="A49" s="98" t="s">
        <v>69</v>
      </c>
      <c r="B49" s="104">
        <f>'CAPM &amp; WACC'!B33</f>
        <v>1.3770402970101273E-2</v>
      </c>
      <c r="C49" s="12"/>
    </row>
    <row r="50" spans="1:3" ht="17" thickBot="1" x14ac:dyDescent="0.4">
      <c r="A50" s="100" t="s">
        <v>50</v>
      </c>
      <c r="B50" s="105">
        <f>'CAPM &amp; WACC'!B34</f>
        <v>7.741931444555912E-2</v>
      </c>
      <c r="C50" s="12"/>
    </row>
    <row r="51" spans="1:3" ht="16.5" x14ac:dyDescent="0.35">
      <c r="A51" s="12"/>
      <c r="B51" s="12"/>
      <c r="C51" s="12"/>
    </row>
    <row r="52" spans="1:3" ht="17" thickBot="1" x14ac:dyDescent="0.4">
      <c r="A52" s="165" t="s">
        <v>51</v>
      </c>
      <c r="B52" s="165"/>
      <c r="C52" s="12"/>
    </row>
    <row r="53" spans="1:3" ht="16.5" x14ac:dyDescent="0.35">
      <c r="A53" s="95" t="s">
        <v>15</v>
      </c>
      <c r="B53" s="97" t="s">
        <v>16</v>
      </c>
      <c r="C53" s="12"/>
    </row>
    <row r="54" spans="1:3" ht="16.5" x14ac:dyDescent="0.35">
      <c r="A54" s="98" t="s">
        <v>63</v>
      </c>
      <c r="B54" s="104">
        <f>'Forecast Assumptions'!B21</f>
        <v>3.5000000000000003E-2</v>
      </c>
      <c r="C54" s="12"/>
    </row>
    <row r="55" spans="1:3" ht="17" thickBot="1" x14ac:dyDescent="0.4">
      <c r="A55" s="100" t="s">
        <v>64</v>
      </c>
      <c r="B55" s="102" t="s">
        <v>122</v>
      </c>
      <c r="C55" s="12"/>
    </row>
    <row r="56" spans="1:3" ht="16.5" x14ac:dyDescent="0.35">
      <c r="A56" s="12"/>
      <c r="B56" s="12"/>
      <c r="C56" s="12"/>
    </row>
    <row r="57" spans="1:3" ht="17" thickBot="1" x14ac:dyDescent="0.4">
      <c r="A57" s="93" t="s">
        <v>66</v>
      </c>
      <c r="B57" s="12"/>
      <c r="C57" s="12"/>
    </row>
    <row r="58" spans="1:3" ht="16.5" x14ac:dyDescent="0.35">
      <c r="A58" s="95" t="s">
        <v>15</v>
      </c>
      <c r="B58" s="97" t="s">
        <v>16</v>
      </c>
      <c r="C58" s="12"/>
    </row>
    <row r="59" spans="1:3" ht="16.5" x14ac:dyDescent="0.35">
      <c r="A59" s="98" t="s">
        <v>59</v>
      </c>
      <c r="B59" s="99">
        <f>Historical_Financials!B29</f>
        <v>6417</v>
      </c>
      <c r="C59" s="12"/>
    </row>
    <row r="60" spans="1:3" ht="16.5" x14ac:dyDescent="0.35">
      <c r="A60" s="98" t="s">
        <v>60</v>
      </c>
      <c r="B60" s="99">
        <f>Historical_Financials!B30</f>
        <v>11283</v>
      </c>
      <c r="C60" s="12"/>
    </row>
    <row r="61" spans="1:3" ht="16.5" x14ac:dyDescent="0.35">
      <c r="A61" s="98" t="s">
        <v>61</v>
      </c>
      <c r="B61" s="163">
        <f>DCF_valuation!B11</f>
        <v>361.80875179999998</v>
      </c>
      <c r="C61" s="12"/>
    </row>
    <row r="62" spans="1:3" ht="17" thickBot="1" x14ac:dyDescent="0.4">
      <c r="A62" s="100" t="s">
        <v>62</v>
      </c>
      <c r="B62" s="102">
        <v>2307</v>
      </c>
      <c r="C62" s="12"/>
    </row>
    <row r="63" spans="1:3" ht="16.5" x14ac:dyDescent="0.35">
      <c r="A63" s="12"/>
      <c r="B63" s="12"/>
      <c r="C63" s="12"/>
    </row>
    <row r="64" spans="1:3" ht="17" thickBot="1" x14ac:dyDescent="0.4">
      <c r="A64" s="93" t="s">
        <v>52</v>
      </c>
      <c r="B64" s="12"/>
      <c r="C64" s="12"/>
    </row>
    <row r="65" spans="1:3" ht="16.5" x14ac:dyDescent="0.35">
      <c r="A65" s="95" t="s">
        <v>53</v>
      </c>
      <c r="B65" s="97" t="s">
        <v>16</v>
      </c>
      <c r="C65" s="12"/>
    </row>
    <row r="66" spans="1:3" ht="16.5" x14ac:dyDescent="0.35">
      <c r="A66" s="98" t="s">
        <v>54</v>
      </c>
      <c r="B66" s="104">
        <f>'CAPM &amp; WACC'!B10</f>
        <v>7.6752000000000001E-2</v>
      </c>
      <c r="C66" s="12"/>
    </row>
    <row r="67" spans="1:3" ht="16.5" x14ac:dyDescent="0.35">
      <c r="A67" s="98" t="s">
        <v>50</v>
      </c>
      <c r="B67" s="104">
        <v>7.7399999999999997E-2</v>
      </c>
      <c r="C67" s="13"/>
    </row>
    <row r="68" spans="1:3" ht="16.5" x14ac:dyDescent="0.35">
      <c r="A68" s="98" t="s">
        <v>55</v>
      </c>
      <c r="B68" s="163">
        <f>DCF_valuation!B7</f>
        <v>884047.51935822295</v>
      </c>
      <c r="C68" s="12"/>
    </row>
    <row r="69" spans="1:3" ht="16.5" x14ac:dyDescent="0.35">
      <c r="A69" s="98" t="s">
        <v>56</v>
      </c>
      <c r="B69" s="163">
        <f>DCF_valuation!B10</f>
        <v>879181.51935822295</v>
      </c>
      <c r="C69" s="12"/>
    </row>
    <row r="70" spans="1:3" ht="16.5" x14ac:dyDescent="0.35">
      <c r="A70" s="98" t="s">
        <v>57</v>
      </c>
      <c r="B70" s="163">
        <f>DCF_valuation!B12</f>
        <v>2429.962003363079</v>
      </c>
      <c r="C70" s="12"/>
    </row>
    <row r="71" spans="1:3" ht="16.5" x14ac:dyDescent="0.35">
      <c r="A71" s="98" t="s">
        <v>58</v>
      </c>
      <c r="B71" s="164">
        <f>Intrinsic_Value_Per_Share/2307</f>
        <v>1.0532995246480621</v>
      </c>
      <c r="C71" s="12"/>
    </row>
    <row r="72" spans="1:3" ht="17" thickBot="1" x14ac:dyDescent="0.4">
      <c r="A72" s="100" t="s">
        <v>179</v>
      </c>
      <c r="B72" s="105">
        <v>3.5000000000000003E-2</v>
      </c>
      <c r="C72" s="12"/>
    </row>
  </sheetData>
  <mergeCells count="3">
    <mergeCell ref="A52:B52"/>
    <mergeCell ref="A1:C2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E749-8468-4A98-B967-A8DB284B500C}">
  <dimension ref="A1:H43"/>
  <sheetViews>
    <sheetView topLeftCell="A27" zoomScale="66" workbookViewId="0">
      <selection activeCell="C35" sqref="C35"/>
    </sheetView>
  </sheetViews>
  <sheetFormatPr defaultRowHeight="23.5" customHeight="1" x14ac:dyDescent="0.3"/>
  <cols>
    <col min="1" max="1" width="41.26953125" style="10" customWidth="1"/>
    <col min="2" max="6" width="13.54296875" style="10" bestFit="1" customWidth="1"/>
    <col min="7" max="7" width="12.26953125" style="10" bestFit="1" customWidth="1"/>
    <col min="8" max="8" width="1.36328125" style="10" customWidth="1"/>
    <col min="9" max="16384" width="8.7265625" style="10"/>
  </cols>
  <sheetData>
    <row r="1" spans="1:8" ht="23.5" customHeight="1" x14ac:dyDescent="0.3">
      <c r="A1" s="167" t="s">
        <v>138</v>
      </c>
      <c r="B1" s="167"/>
      <c r="C1" s="167"/>
      <c r="D1" s="167"/>
      <c r="E1" s="167"/>
      <c r="F1" s="167"/>
      <c r="G1" s="167"/>
      <c r="H1" s="167"/>
    </row>
    <row r="2" spans="1:8" ht="23.5" customHeight="1" x14ac:dyDescent="0.3">
      <c r="A2" s="167"/>
      <c r="B2" s="167"/>
      <c r="C2" s="167"/>
      <c r="D2" s="167"/>
      <c r="E2" s="167"/>
      <c r="F2" s="167"/>
      <c r="G2" s="167"/>
      <c r="H2" s="167"/>
    </row>
    <row r="3" spans="1:8" ht="23.5" customHeight="1" thickBot="1" x14ac:dyDescent="0.35"/>
    <row r="4" spans="1:8" ht="23.5" customHeight="1" thickBot="1" x14ac:dyDescent="0.45">
      <c r="A4" s="142" t="s">
        <v>79</v>
      </c>
    </row>
    <row r="5" spans="1:8" s="11" customFormat="1" ht="23.5" customHeight="1" thickBot="1" x14ac:dyDescent="0.4">
      <c r="A5" s="133" t="s">
        <v>80</v>
      </c>
      <c r="B5" s="134" t="s">
        <v>74</v>
      </c>
      <c r="C5" s="134" t="s">
        <v>75</v>
      </c>
      <c r="D5" s="134" t="s">
        <v>25</v>
      </c>
      <c r="E5" s="134" t="s">
        <v>76</v>
      </c>
      <c r="F5" s="134" t="s">
        <v>77</v>
      </c>
      <c r="G5" s="135" t="s">
        <v>73</v>
      </c>
    </row>
    <row r="6" spans="1:8" ht="23.5" customHeight="1" thickBot="1" x14ac:dyDescent="0.4">
      <c r="A6" s="136" t="s">
        <v>78</v>
      </c>
      <c r="B6" s="51">
        <v>267021</v>
      </c>
      <c r="C6" s="51">
        <v>255324</v>
      </c>
      <c r="D6" s="51">
        <v>240893</v>
      </c>
      <c r="E6" s="51">
        <v>225458</v>
      </c>
      <c r="F6" s="51">
        <v>191754</v>
      </c>
      <c r="G6" s="137">
        <v>164177</v>
      </c>
    </row>
    <row r="7" spans="1:8" ht="23.5" customHeight="1" thickBot="1" x14ac:dyDescent="0.4">
      <c r="A7" s="136" t="s">
        <v>81</v>
      </c>
      <c r="B7" s="53">
        <f>(B6/C6)-1</f>
        <v>4.581237956478823E-2</v>
      </c>
      <c r="C7" s="53">
        <f t="shared" ref="C7:F7" si="0">(C6/D6)-1</f>
        <v>5.9906265437351891E-2</v>
      </c>
      <c r="D7" s="53">
        <f t="shared" si="0"/>
        <v>6.8460644554639849E-2</v>
      </c>
      <c r="E7" s="53">
        <f t="shared" si="0"/>
        <v>0.17576686796624852</v>
      </c>
      <c r="F7" s="53">
        <f t="shared" si="0"/>
        <v>0.1679711530847805</v>
      </c>
      <c r="G7" s="137"/>
    </row>
    <row r="8" spans="1:8" ht="23.5" customHeight="1" thickBot="1" x14ac:dyDescent="0.4">
      <c r="A8" s="136" t="s">
        <v>82</v>
      </c>
      <c r="B8" s="51">
        <v>66838</v>
      </c>
      <c r="C8" s="51">
        <v>62165</v>
      </c>
      <c r="D8" s="51">
        <v>59311</v>
      </c>
      <c r="E8" s="51">
        <v>54237</v>
      </c>
      <c r="F8" s="51">
        <v>48453</v>
      </c>
      <c r="G8" s="137">
        <v>42481</v>
      </c>
    </row>
    <row r="9" spans="1:8" ht="23.5" customHeight="1" thickBot="1" x14ac:dyDescent="0.4">
      <c r="A9" s="136" t="s">
        <v>83</v>
      </c>
      <c r="B9" s="53">
        <f>B8/B6</f>
        <v>0.25030990071941905</v>
      </c>
      <c r="C9" s="53">
        <f t="shared" ref="C9:G9" si="1">C8/C6</f>
        <v>0.24347495730914445</v>
      </c>
      <c r="D9" s="53">
        <f t="shared" si="1"/>
        <v>0.24621304894704288</v>
      </c>
      <c r="E9" s="53">
        <f t="shared" si="1"/>
        <v>0.24056365265370933</v>
      </c>
      <c r="F9" s="53">
        <f t="shared" si="1"/>
        <v>0.25268312525423198</v>
      </c>
      <c r="G9" s="138">
        <f t="shared" si="1"/>
        <v>0.25875122581116722</v>
      </c>
    </row>
    <row r="10" spans="1:8" ht="23.5" customHeight="1" thickBot="1" x14ac:dyDescent="0.4">
      <c r="A10" s="136" t="s">
        <v>105</v>
      </c>
      <c r="B10" s="51">
        <v>70355</v>
      </c>
      <c r="C10" s="51">
        <v>65331</v>
      </c>
      <c r="D10" s="51">
        <v>63038</v>
      </c>
      <c r="E10" s="51">
        <v>56907</v>
      </c>
      <c r="F10" s="51">
        <v>51687</v>
      </c>
      <c r="G10" s="137">
        <v>44978</v>
      </c>
    </row>
    <row r="11" spans="1:8" ht="23.5" customHeight="1" thickBot="1" x14ac:dyDescent="0.4">
      <c r="A11" s="136" t="s">
        <v>84</v>
      </c>
      <c r="B11" s="51">
        <v>16033</v>
      </c>
      <c r="C11" s="51">
        <v>16534</v>
      </c>
      <c r="D11" s="51">
        <v>15898</v>
      </c>
      <c r="E11" s="51">
        <v>14604</v>
      </c>
      <c r="F11" s="51">
        <v>13238</v>
      </c>
      <c r="G11" s="137">
        <v>11198</v>
      </c>
    </row>
    <row r="12" spans="1:8" ht="23.5" customHeight="1" thickBot="1" x14ac:dyDescent="0.4">
      <c r="A12" s="136" t="s">
        <v>85</v>
      </c>
      <c r="B12" s="53">
        <f>B11/B10</f>
        <v>0.22788714377087627</v>
      </c>
      <c r="C12" s="53">
        <f>C11/C10</f>
        <v>0.25308046715954141</v>
      </c>
      <c r="D12" s="53">
        <f t="shared" ref="D12:G12" si="2">D11/D10</f>
        <v>0.25219708747104919</v>
      </c>
      <c r="E12" s="53">
        <f t="shared" si="2"/>
        <v>0.25662923717644576</v>
      </c>
      <c r="F12" s="53">
        <f t="shared" si="2"/>
        <v>0.25611855979259773</v>
      </c>
      <c r="G12" s="138">
        <f t="shared" si="2"/>
        <v>0.24896616123438126</v>
      </c>
    </row>
    <row r="13" spans="1:8" ht="23.5" customHeight="1" thickBot="1" x14ac:dyDescent="0.4">
      <c r="A13" s="136" t="s">
        <v>106</v>
      </c>
      <c r="B13" s="51">
        <v>52820</v>
      </c>
      <c r="C13" s="51">
        <v>48553</v>
      </c>
      <c r="D13" s="51">
        <v>46585</v>
      </c>
      <c r="E13" s="51">
        <v>42147</v>
      </c>
      <c r="F13" s="51">
        <v>38327</v>
      </c>
      <c r="G13" s="137">
        <v>33388</v>
      </c>
    </row>
    <row r="14" spans="1:8" ht="23.5" customHeight="1" thickBot="1" x14ac:dyDescent="0.4">
      <c r="A14" s="139" t="s">
        <v>86</v>
      </c>
      <c r="B14" s="140">
        <f>B8*(1-B12)</f>
        <v>51606.479084642175</v>
      </c>
      <c r="C14" s="140">
        <f t="shared" ref="C14:G14" si="3">C8*(1-C12)</f>
        <v>46432.252759027106</v>
      </c>
      <c r="D14" s="140">
        <f t="shared" si="3"/>
        <v>44352.938545004603</v>
      </c>
      <c r="E14" s="140">
        <f t="shared" si="3"/>
        <v>40318.200063261109</v>
      </c>
      <c r="F14" s="140">
        <f t="shared" si="3"/>
        <v>36043.287422369263</v>
      </c>
      <c r="G14" s="141">
        <f t="shared" si="3"/>
        <v>31904.668504602254</v>
      </c>
    </row>
    <row r="16" spans="1:8" ht="23.5" customHeight="1" thickBot="1" x14ac:dyDescent="0.45">
      <c r="A16" s="63" t="s">
        <v>87</v>
      </c>
    </row>
    <row r="17" spans="1:7" s="11" customFormat="1" ht="23.5" customHeight="1" thickBot="1" x14ac:dyDescent="0.4">
      <c r="A17" s="62" t="s">
        <v>80</v>
      </c>
      <c r="B17" s="43" t="s">
        <v>74</v>
      </c>
      <c r="C17" s="43" t="s">
        <v>75</v>
      </c>
      <c r="D17" s="43" t="s">
        <v>25</v>
      </c>
      <c r="E17" s="43" t="s">
        <v>76</v>
      </c>
      <c r="F17" s="43" t="s">
        <v>77</v>
      </c>
      <c r="G17" s="44" t="s">
        <v>73</v>
      </c>
    </row>
    <row r="18" spans="1:7" ht="23.5" customHeight="1" thickBot="1" x14ac:dyDescent="0.4">
      <c r="A18" s="40" t="s">
        <v>88</v>
      </c>
      <c r="B18" s="51">
        <v>5560</v>
      </c>
      <c r="C18" s="51">
        <v>5242</v>
      </c>
      <c r="D18" s="51">
        <v>4985</v>
      </c>
      <c r="E18" s="51">
        <v>5022</v>
      </c>
      <c r="F18" s="51">
        <v>4604</v>
      </c>
      <c r="G18" s="52">
        <v>4065</v>
      </c>
    </row>
    <row r="19" spans="1:7" ht="23.5" customHeight="1" thickBot="1" x14ac:dyDescent="0.4">
      <c r="A19" s="40" t="s">
        <v>89</v>
      </c>
      <c r="B19" s="51">
        <v>4037</v>
      </c>
      <c r="C19" s="51">
        <v>3861</v>
      </c>
      <c r="D19" s="51">
        <v>2644</v>
      </c>
      <c r="E19" s="51">
        <v>2887</v>
      </c>
      <c r="F19" s="51">
        <v>2995</v>
      </c>
      <c r="G19" s="52">
        <v>3176</v>
      </c>
    </row>
    <row r="20" spans="1:7" ht="23.5" customHeight="1" thickBot="1" x14ac:dyDescent="0.4">
      <c r="A20" s="40" t="s">
        <v>90</v>
      </c>
      <c r="B20" s="54">
        <f>B26-B28</f>
        <v>74791</v>
      </c>
      <c r="C20" s="54">
        <f t="shared" ref="C20:G20" si="4">C26-C28</f>
        <v>70010</v>
      </c>
      <c r="D20" s="54">
        <f t="shared" si="4"/>
        <v>40689</v>
      </c>
      <c r="E20" s="54">
        <f t="shared" si="4"/>
        <v>30819</v>
      </c>
      <c r="F20" s="54">
        <f t="shared" si="4"/>
        <v>36321</v>
      </c>
      <c r="G20" s="55">
        <f t="shared" si="4"/>
        <v>32891</v>
      </c>
    </row>
    <row r="21" spans="1:7" ht="23.5" customHeight="1" thickBot="1" x14ac:dyDescent="0.4">
      <c r="A21" s="40" t="s">
        <v>91</v>
      </c>
      <c r="B21" s="54">
        <f>B20-C20</f>
        <v>4781</v>
      </c>
      <c r="C21" s="54">
        <f t="shared" ref="C21:G21" si="5">C20-D20</f>
        <v>29321</v>
      </c>
      <c r="D21" s="54">
        <f t="shared" si="5"/>
        <v>9870</v>
      </c>
      <c r="E21" s="54">
        <f t="shared" si="5"/>
        <v>-5502</v>
      </c>
      <c r="F21" s="54">
        <f t="shared" si="5"/>
        <v>3430</v>
      </c>
      <c r="G21" s="55">
        <f t="shared" si="5"/>
        <v>32891</v>
      </c>
    </row>
    <row r="22" spans="1:7" ht="23.5" customHeight="1" thickBot="1" x14ac:dyDescent="0.4">
      <c r="A22" s="38" t="s">
        <v>92</v>
      </c>
      <c r="B22" s="54">
        <f>B14+B18-B19-B21</f>
        <v>48348.479084642175</v>
      </c>
      <c r="C22" s="54">
        <f t="shared" ref="C22:G22" si="6">C14+C18-C19-C21</f>
        <v>18492.252759027106</v>
      </c>
      <c r="D22" s="54">
        <f t="shared" si="6"/>
        <v>36823.938545004603</v>
      </c>
      <c r="E22" s="54">
        <f t="shared" si="6"/>
        <v>47955.200063261109</v>
      </c>
      <c r="F22" s="54">
        <f t="shared" si="6"/>
        <v>34222.287422369263</v>
      </c>
      <c r="G22" s="55">
        <f t="shared" si="6"/>
        <v>-97.331495397746039</v>
      </c>
    </row>
    <row r="24" spans="1:7" ht="23.5" customHeight="1" thickBot="1" x14ac:dyDescent="0.45">
      <c r="A24" s="63" t="s">
        <v>93</v>
      </c>
    </row>
    <row r="25" spans="1:7" s="11" customFormat="1" ht="23.5" customHeight="1" thickBot="1" x14ac:dyDescent="0.4">
      <c r="A25" s="62" t="s">
        <v>80</v>
      </c>
      <c r="B25" s="43" t="s">
        <v>74</v>
      </c>
      <c r="C25" s="43" t="s">
        <v>75</v>
      </c>
      <c r="D25" s="43" t="s">
        <v>25</v>
      </c>
      <c r="E25" s="43" t="s">
        <v>76</v>
      </c>
      <c r="F25" s="43" t="s">
        <v>77</v>
      </c>
      <c r="G25" s="44" t="s">
        <v>73</v>
      </c>
    </row>
    <row r="26" spans="1:7" ht="23.5" customHeight="1" thickBot="1" x14ac:dyDescent="0.4">
      <c r="A26" s="40" t="s">
        <v>107</v>
      </c>
      <c r="B26" s="56">
        <v>135705</v>
      </c>
      <c r="C26" s="54">
        <v>123011</v>
      </c>
      <c r="D26" s="54">
        <v>113610</v>
      </c>
      <c r="E26" s="54">
        <v>92784</v>
      </c>
      <c r="F26" s="54">
        <v>94192</v>
      </c>
      <c r="G26" s="55">
        <v>83160</v>
      </c>
    </row>
    <row r="27" spans="1:7" ht="23.5" customHeight="1" thickBot="1" x14ac:dyDescent="0.4">
      <c r="A27" s="40" t="s">
        <v>94</v>
      </c>
      <c r="B27" s="51">
        <v>182372</v>
      </c>
      <c r="C27" s="51">
        <v>159629</v>
      </c>
      <c r="D27" s="51">
        <v>174158</v>
      </c>
      <c r="E27" s="51">
        <v>152700</v>
      </c>
      <c r="F27" s="51">
        <v>149627</v>
      </c>
      <c r="G27" s="52">
        <v>128035</v>
      </c>
    </row>
    <row r="28" spans="1:7" ht="23.5" customHeight="1" thickBot="1" x14ac:dyDescent="0.4">
      <c r="A28" s="40" t="s">
        <v>108</v>
      </c>
      <c r="B28" s="51">
        <v>60914</v>
      </c>
      <c r="C28" s="51">
        <v>53001</v>
      </c>
      <c r="D28" s="51">
        <v>72921</v>
      </c>
      <c r="E28" s="51">
        <v>61965</v>
      </c>
      <c r="F28" s="51">
        <v>57871</v>
      </c>
      <c r="G28" s="52">
        <v>50269</v>
      </c>
    </row>
    <row r="29" spans="1:7" ht="23.5" customHeight="1" thickBot="1" x14ac:dyDescent="0.4">
      <c r="A29" s="40" t="s">
        <v>95</v>
      </c>
      <c r="B29" s="51">
        <v>6417</v>
      </c>
      <c r="C29" s="51">
        <v>8342</v>
      </c>
      <c r="D29" s="51">
        <v>4907</v>
      </c>
      <c r="E29" s="51">
        <v>1462</v>
      </c>
      <c r="F29" s="51">
        <v>8197</v>
      </c>
      <c r="G29" s="52">
        <v>1112</v>
      </c>
    </row>
    <row r="30" spans="1:7" ht="23.5" customHeight="1" thickBot="1" x14ac:dyDescent="0.4">
      <c r="A30" s="40" t="s">
        <v>96</v>
      </c>
      <c r="B30" s="51">
        <v>11283</v>
      </c>
      <c r="C30" s="51">
        <v>9392</v>
      </c>
      <c r="D30" s="51">
        <v>5604</v>
      </c>
      <c r="E30" s="51">
        <v>5364</v>
      </c>
      <c r="F30" s="51">
        <v>5335</v>
      </c>
      <c r="G30" s="52">
        <v>5406</v>
      </c>
    </row>
    <row r="31" spans="1:7" ht="23.5" customHeight="1" thickBot="1" x14ac:dyDescent="0.4">
      <c r="A31" s="38" t="s">
        <v>97</v>
      </c>
      <c r="B31" s="51">
        <v>108478</v>
      </c>
      <c r="C31" s="51">
        <v>95771</v>
      </c>
      <c r="D31" s="51">
        <v>156916</v>
      </c>
      <c r="E31" s="51">
        <v>136812</v>
      </c>
      <c r="F31" s="51">
        <v>127925</v>
      </c>
      <c r="G31" s="52">
        <v>115156</v>
      </c>
    </row>
    <row r="33" spans="1:7" ht="23.5" customHeight="1" thickBot="1" x14ac:dyDescent="0.45">
      <c r="A33" s="61" t="s">
        <v>98</v>
      </c>
    </row>
    <row r="34" spans="1:7" s="11" customFormat="1" ht="23.5" customHeight="1" thickBot="1" x14ac:dyDescent="0.4">
      <c r="A34" s="42" t="s">
        <v>80</v>
      </c>
      <c r="B34" s="43" t="s">
        <v>74</v>
      </c>
      <c r="C34" s="43" t="s">
        <v>75</v>
      </c>
      <c r="D34" s="43" t="s">
        <v>25</v>
      </c>
      <c r="E34" s="43" t="s">
        <v>76</v>
      </c>
      <c r="F34" s="43" t="s">
        <v>77</v>
      </c>
      <c r="G34" s="44" t="s">
        <v>73</v>
      </c>
    </row>
    <row r="35" spans="1:7" ht="23.5" customHeight="1" thickBot="1" x14ac:dyDescent="0.45">
      <c r="A35" s="45" t="s">
        <v>99</v>
      </c>
      <c r="B35" s="57">
        <f>((B6/G6)^(1/5))-1</f>
        <v>0.1021650124358422</v>
      </c>
      <c r="C35" s="58"/>
      <c r="D35" s="58"/>
      <c r="E35" s="58"/>
      <c r="F35" s="58"/>
      <c r="G35" s="59"/>
    </row>
    <row r="36" spans="1:7" ht="23.5" customHeight="1" thickBot="1" x14ac:dyDescent="0.45">
      <c r="A36" s="45" t="s">
        <v>100</v>
      </c>
      <c r="B36" s="57">
        <f>AVERAGE(B9:G9)</f>
        <v>0.24866598511578583</v>
      </c>
      <c r="C36" s="58"/>
      <c r="D36" s="58"/>
      <c r="E36" s="58"/>
      <c r="F36" s="58"/>
      <c r="G36" s="59"/>
    </row>
    <row r="37" spans="1:7" ht="23.5" customHeight="1" thickBot="1" x14ac:dyDescent="0.45">
      <c r="A37" s="45" t="s">
        <v>101</v>
      </c>
      <c r="B37" s="57">
        <f>AVERAGE(B12:G12)</f>
        <v>0.24914644276748191</v>
      </c>
      <c r="C37" s="58"/>
      <c r="D37" s="58"/>
      <c r="E37" s="58"/>
      <c r="F37" s="58"/>
      <c r="G37" s="59"/>
    </row>
    <row r="38" spans="1:7" ht="23.5" customHeight="1" thickBot="1" x14ac:dyDescent="0.45">
      <c r="A38" s="45" t="s">
        <v>151</v>
      </c>
      <c r="B38" s="57">
        <f>B18/B6</f>
        <v>2.0822332325921931E-2</v>
      </c>
      <c r="C38" s="57">
        <f t="shared" ref="C38:G38" si="7">C18/C6</f>
        <v>2.053077658191161E-2</v>
      </c>
      <c r="D38" s="57">
        <f t="shared" si="7"/>
        <v>2.0693835022188273E-2</v>
      </c>
      <c r="E38" s="57">
        <f t="shared" si="7"/>
        <v>2.2274658694745805E-2</v>
      </c>
      <c r="F38" s="57">
        <f t="shared" si="7"/>
        <v>2.4009929388695932E-2</v>
      </c>
      <c r="G38" s="60">
        <f t="shared" si="7"/>
        <v>2.4759862830969016E-2</v>
      </c>
    </row>
    <row r="39" spans="1:7" ht="23.5" customHeight="1" thickBot="1" x14ac:dyDescent="0.45">
      <c r="A39" s="45" t="s">
        <v>102</v>
      </c>
      <c r="B39" s="57">
        <f>AVERAGE(B38:G38)</f>
        <v>2.2181899140738762E-2</v>
      </c>
      <c r="C39" s="58"/>
      <c r="D39" s="58"/>
      <c r="E39" s="58"/>
      <c r="F39" s="58"/>
      <c r="G39" s="59"/>
    </row>
    <row r="40" spans="1:7" ht="23.5" customHeight="1" thickBot="1" x14ac:dyDescent="0.45">
      <c r="A40" s="45" t="s">
        <v>152</v>
      </c>
      <c r="B40" s="57">
        <f>B19/B6</f>
        <v>1.5118661079091157E-2</v>
      </c>
      <c r="C40" s="58">
        <f t="shared" ref="C40:G40" si="8">C19/C6</f>
        <v>1.5121962682709029E-2</v>
      </c>
      <c r="D40" s="58">
        <f t="shared" si="8"/>
        <v>1.0975827442059338E-2</v>
      </c>
      <c r="E40" s="58">
        <f t="shared" si="8"/>
        <v>1.2805045729138022E-2</v>
      </c>
      <c r="F40" s="58">
        <f t="shared" si="8"/>
        <v>1.5618970138823702E-2</v>
      </c>
      <c r="G40" s="59">
        <f t="shared" si="8"/>
        <v>1.9344975240137167E-2</v>
      </c>
    </row>
    <row r="41" spans="1:7" ht="23.5" customHeight="1" thickBot="1" x14ac:dyDescent="0.45">
      <c r="A41" s="45" t="s">
        <v>103</v>
      </c>
      <c r="B41" s="57">
        <f>AVERAGE(B40:G40)</f>
        <v>1.4830907051993072E-2</v>
      </c>
      <c r="C41" s="58"/>
      <c r="D41" s="58"/>
      <c r="E41" s="58"/>
      <c r="F41" s="58"/>
      <c r="G41" s="59"/>
    </row>
    <row r="42" spans="1:7" ht="23.5" customHeight="1" thickBot="1" x14ac:dyDescent="0.45">
      <c r="A42" s="45" t="s">
        <v>153</v>
      </c>
      <c r="B42" s="57">
        <f>B20/B6</f>
        <v>0.28009407499784661</v>
      </c>
      <c r="C42" s="58">
        <f t="shared" ref="C42:G42" si="9">C20/C6</f>
        <v>0.27420062352148644</v>
      </c>
      <c r="D42" s="58">
        <f t="shared" si="9"/>
        <v>0.1689090176966537</v>
      </c>
      <c r="E42" s="58">
        <f t="shared" si="9"/>
        <v>0.13669508289792334</v>
      </c>
      <c r="F42" s="58">
        <f t="shared" si="9"/>
        <v>0.18941456240808535</v>
      </c>
      <c r="G42" s="59">
        <f t="shared" si="9"/>
        <v>0.20033865888644573</v>
      </c>
    </row>
    <row r="43" spans="1:7" ht="23.5" customHeight="1" thickBot="1" x14ac:dyDescent="0.45">
      <c r="A43" s="46" t="s">
        <v>104</v>
      </c>
      <c r="B43" s="57">
        <f>AVERAGE(B42:G42)</f>
        <v>0.20827533673474019</v>
      </c>
      <c r="C43" s="58"/>
      <c r="D43" s="58"/>
      <c r="E43" s="58"/>
      <c r="F43" s="58"/>
      <c r="G43" s="59"/>
    </row>
  </sheetData>
  <mergeCells count="1">
    <mergeCell ref="A1:H2"/>
  </mergeCells>
  <pageMargins left="0.7" right="0.7" top="0.75" bottom="0.75" header="0.3" footer="0.3"/>
  <ignoredErrors>
    <ignoredError sqref="B40 B4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AD64-2A39-472C-A92E-D55EB86ACE90}">
  <dimension ref="A1:I21"/>
  <sheetViews>
    <sheetView tabSelected="1" zoomScale="89" workbookViewId="0">
      <selection activeCell="M13" sqref="M13"/>
    </sheetView>
  </sheetViews>
  <sheetFormatPr defaultRowHeight="14" x14ac:dyDescent="0.3"/>
  <cols>
    <col min="1" max="1" width="38.26953125" style="10" customWidth="1"/>
    <col min="2" max="6" width="8.7265625" style="10"/>
    <col min="7" max="7" width="0.54296875" style="10" customWidth="1"/>
    <col min="8" max="8" width="0.81640625" style="10" customWidth="1"/>
    <col min="9" max="9" width="0.36328125" style="10" customWidth="1"/>
    <col min="10" max="16384" width="8.7265625" style="10"/>
  </cols>
  <sheetData>
    <row r="1" spans="1:9" x14ac:dyDescent="0.3">
      <c r="A1" s="168" t="s">
        <v>109</v>
      </c>
      <c r="B1" s="168"/>
      <c r="C1" s="168"/>
      <c r="D1" s="168"/>
      <c r="E1" s="168"/>
      <c r="F1" s="168"/>
      <c r="G1" s="168"/>
      <c r="H1" s="168"/>
      <c r="I1" s="168"/>
    </row>
    <row r="2" spans="1:9" x14ac:dyDescent="0.3">
      <c r="A2" s="168"/>
      <c r="B2" s="168"/>
      <c r="C2" s="168"/>
      <c r="D2" s="168"/>
      <c r="E2" s="168"/>
      <c r="F2" s="168"/>
      <c r="G2" s="168"/>
      <c r="H2" s="168"/>
      <c r="I2" s="168"/>
    </row>
    <row r="3" spans="1:9" ht="14.5" thickBot="1" x14ac:dyDescent="0.35"/>
    <row r="4" spans="1:9" ht="18" thickBot="1" x14ac:dyDescent="0.4">
      <c r="A4" s="146" t="s">
        <v>78</v>
      </c>
    </row>
    <row r="5" spans="1:9" ht="17" thickBot="1" x14ac:dyDescent="0.4">
      <c r="A5" s="92" t="s">
        <v>110</v>
      </c>
      <c r="B5" s="143" t="s">
        <v>119</v>
      </c>
      <c r="C5" s="143" t="s">
        <v>120</v>
      </c>
      <c r="D5" s="143" t="s">
        <v>65</v>
      </c>
      <c r="E5" s="143" t="s">
        <v>121</v>
      </c>
      <c r="F5" s="144" t="s">
        <v>122</v>
      </c>
    </row>
    <row r="6" spans="1:9" ht="17" thickBot="1" x14ac:dyDescent="0.4">
      <c r="A6" s="48" t="s">
        <v>111</v>
      </c>
      <c r="B6" s="82">
        <v>0.06</v>
      </c>
      <c r="C6" s="82">
        <v>0.06</v>
      </c>
      <c r="D6" s="82">
        <v>5.7500000000000002E-2</v>
      </c>
      <c r="E6" s="82">
        <v>5.5E-2</v>
      </c>
      <c r="F6" s="82">
        <v>5.2499999999999998E-2</v>
      </c>
    </row>
    <row r="7" spans="1:9" ht="14.5" thickBot="1" x14ac:dyDescent="0.35"/>
    <row r="8" spans="1:9" ht="18" thickBot="1" x14ac:dyDescent="0.4">
      <c r="A8" s="146" t="s">
        <v>137</v>
      </c>
    </row>
    <row r="9" spans="1:9" ht="17" thickBot="1" x14ac:dyDescent="0.4">
      <c r="A9" s="92" t="s">
        <v>110</v>
      </c>
      <c r="B9" s="143" t="s">
        <v>119</v>
      </c>
      <c r="C9" s="143" t="s">
        <v>120</v>
      </c>
      <c r="D9" s="143" t="s">
        <v>65</v>
      </c>
      <c r="E9" s="143" t="s">
        <v>121</v>
      </c>
      <c r="F9" s="144" t="s">
        <v>122</v>
      </c>
    </row>
    <row r="10" spans="1:9" ht="16.5" x14ac:dyDescent="0.35">
      <c r="A10" s="47" t="s">
        <v>112</v>
      </c>
      <c r="B10" s="145">
        <v>0.25</v>
      </c>
      <c r="C10" s="145">
        <v>0.25</v>
      </c>
      <c r="D10" s="145">
        <v>0.25</v>
      </c>
      <c r="E10" s="145">
        <v>0.25</v>
      </c>
      <c r="F10" s="145">
        <v>0.25</v>
      </c>
    </row>
    <row r="11" spans="1:9" ht="17" thickBot="1" x14ac:dyDescent="0.4">
      <c r="A11" s="48" t="s">
        <v>113</v>
      </c>
      <c r="B11" s="145">
        <v>0.25</v>
      </c>
      <c r="C11" s="145">
        <v>0.25</v>
      </c>
      <c r="D11" s="145">
        <v>0.25</v>
      </c>
      <c r="E11" s="145">
        <v>0.25</v>
      </c>
      <c r="F11" s="145">
        <v>0.25</v>
      </c>
    </row>
    <row r="12" spans="1:9" ht="14.5" thickBot="1" x14ac:dyDescent="0.35"/>
    <row r="13" spans="1:9" ht="18" thickBot="1" x14ac:dyDescent="0.4">
      <c r="A13" s="146" t="s">
        <v>114</v>
      </c>
    </row>
    <row r="14" spans="1:9" ht="17" thickBot="1" x14ac:dyDescent="0.4">
      <c r="A14" s="92" t="s">
        <v>110</v>
      </c>
      <c r="B14" s="143" t="s">
        <v>119</v>
      </c>
      <c r="C14" s="143" t="s">
        <v>120</v>
      </c>
      <c r="D14" s="143" t="s">
        <v>65</v>
      </c>
      <c r="E14" s="143" t="s">
        <v>121</v>
      </c>
      <c r="F14" s="144" t="s">
        <v>122</v>
      </c>
    </row>
    <row r="15" spans="1:9" ht="16.5" x14ac:dyDescent="0.35">
      <c r="A15" s="47" t="s">
        <v>124</v>
      </c>
      <c r="B15" s="50">
        <v>2.1000000000000001E-2</v>
      </c>
      <c r="C15" s="50">
        <v>2.1000000000000001E-2</v>
      </c>
      <c r="D15" s="50">
        <v>2.1000000000000001E-2</v>
      </c>
      <c r="E15" s="50">
        <v>2.1000000000000001E-2</v>
      </c>
      <c r="F15" s="50">
        <v>2.1000000000000001E-2</v>
      </c>
    </row>
    <row r="16" spans="1:9" ht="16.5" x14ac:dyDescent="0.35">
      <c r="A16" s="47" t="s">
        <v>115</v>
      </c>
      <c r="B16" s="50">
        <v>1.4E-2</v>
      </c>
      <c r="C16" s="50">
        <v>1.4E-2</v>
      </c>
      <c r="D16" s="50">
        <v>1.4E-2</v>
      </c>
      <c r="E16" s="50">
        <v>1.4E-2</v>
      </c>
      <c r="F16" s="50">
        <v>1.4E-2</v>
      </c>
    </row>
    <row r="17" spans="1:6" ht="17" thickBot="1" x14ac:dyDescent="0.4">
      <c r="A17" s="48" t="s">
        <v>116</v>
      </c>
      <c r="B17" s="145">
        <v>0.18</v>
      </c>
      <c r="C17" s="145">
        <v>0.18</v>
      </c>
      <c r="D17" s="145">
        <v>0.18</v>
      </c>
      <c r="E17" s="145">
        <v>0.18</v>
      </c>
      <c r="F17" s="145">
        <v>0.18</v>
      </c>
    </row>
    <row r="18" spans="1:6" ht="14.5" thickBot="1" x14ac:dyDescent="0.35"/>
    <row r="19" spans="1:6" ht="18" thickBot="1" x14ac:dyDescent="0.4">
      <c r="A19" s="146" t="s">
        <v>117</v>
      </c>
    </row>
    <row r="20" spans="1:6" ht="17" thickBot="1" x14ac:dyDescent="0.4">
      <c r="A20" s="92" t="s">
        <v>110</v>
      </c>
      <c r="B20" s="39" t="s">
        <v>16</v>
      </c>
    </row>
    <row r="21" spans="1:6" ht="17" thickBot="1" x14ac:dyDescent="0.4">
      <c r="A21" s="38" t="s">
        <v>118</v>
      </c>
      <c r="B21" s="41">
        <v>3.5000000000000003E-2</v>
      </c>
    </row>
  </sheetData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D269-CC8D-4FD9-BA9D-6C71233CC6AF}">
  <dimension ref="A1:H12"/>
  <sheetViews>
    <sheetView workbookViewId="0">
      <selection sqref="A1:H2"/>
    </sheetView>
  </sheetViews>
  <sheetFormatPr defaultRowHeight="14" x14ac:dyDescent="0.3"/>
  <cols>
    <col min="1" max="1" width="14.54296875" style="10" customWidth="1"/>
    <col min="2" max="3" width="11.90625" style="10" customWidth="1"/>
    <col min="4" max="4" width="11.7265625" style="10" customWidth="1"/>
    <col min="5" max="5" width="10.90625" style="10" customWidth="1"/>
    <col min="6" max="6" width="10.81640625" style="10" customWidth="1"/>
    <col min="7" max="7" width="1.36328125" style="10" customWidth="1"/>
    <col min="8" max="8" width="8.7265625" style="10" hidden="1" customWidth="1"/>
    <col min="9" max="16384" width="8.7265625" style="10"/>
  </cols>
  <sheetData>
    <row r="1" spans="1:8" x14ac:dyDescent="0.3">
      <c r="A1" s="168" t="s">
        <v>136</v>
      </c>
      <c r="B1" s="168"/>
      <c r="C1" s="168"/>
      <c r="D1" s="168"/>
      <c r="E1" s="168"/>
      <c r="F1" s="168"/>
      <c r="G1" s="168"/>
      <c r="H1" s="168"/>
    </row>
    <row r="2" spans="1:8" x14ac:dyDescent="0.3">
      <c r="A2" s="168"/>
      <c r="B2" s="168"/>
      <c r="C2" s="168"/>
      <c r="D2" s="168"/>
      <c r="E2" s="168"/>
      <c r="F2" s="168"/>
      <c r="G2" s="168"/>
      <c r="H2" s="168"/>
    </row>
    <row r="4" spans="1:8" ht="14.5" thickBot="1" x14ac:dyDescent="0.35"/>
    <row r="5" spans="1:8" ht="17" thickBot="1" x14ac:dyDescent="0.35">
      <c r="A5" s="29" t="s">
        <v>125</v>
      </c>
      <c r="B5" s="32" t="s">
        <v>119</v>
      </c>
      <c r="C5" s="32" t="s">
        <v>120</v>
      </c>
      <c r="D5" s="32" t="s">
        <v>65</v>
      </c>
      <c r="E5" s="32" t="s">
        <v>121</v>
      </c>
      <c r="F5" s="33" t="s">
        <v>122</v>
      </c>
    </row>
    <row r="6" spans="1:8" ht="16.5" x14ac:dyDescent="0.3">
      <c r="A6" s="30" t="s">
        <v>126</v>
      </c>
      <c r="B6" s="34">
        <f>Historical_Financials!B6*(1+'Forecast Assumptions'!B6)</f>
        <v>283042.26</v>
      </c>
      <c r="C6" s="34">
        <f>B6*(1+'Forecast Assumptions'!C6)</f>
        <v>300024.79560000001</v>
      </c>
      <c r="D6" s="34">
        <f>C6*(1+'Forecast Assumptions'!D6)</f>
        <v>317276.22134700004</v>
      </c>
      <c r="E6" s="34">
        <f>D6*(1+'Forecast Assumptions'!E6)</f>
        <v>334726.41352108505</v>
      </c>
      <c r="F6" s="35">
        <f>E6*(1+'Forecast Assumptions'!F6)</f>
        <v>352299.55023094203</v>
      </c>
    </row>
    <row r="7" spans="1:8" ht="16.5" x14ac:dyDescent="0.3">
      <c r="A7" s="30" t="s">
        <v>82</v>
      </c>
      <c r="B7" s="34">
        <f>Historical_Financials!B6*'Forecast Assumptions'!B10</f>
        <v>66755.25</v>
      </c>
      <c r="C7" s="34">
        <f>Historical_Financials!C6*'Forecast Assumptions'!C10</f>
        <v>63831</v>
      </c>
      <c r="D7" s="34">
        <f>Historical_Financials!D6*'Forecast Assumptions'!D10</f>
        <v>60223.25</v>
      </c>
      <c r="E7" s="34">
        <f>Historical_Financials!E6*'Forecast Assumptions'!E10</f>
        <v>56364.5</v>
      </c>
      <c r="F7" s="35">
        <f>Historical_Financials!F6*'Forecast Assumptions'!F10</f>
        <v>47938.5</v>
      </c>
    </row>
    <row r="8" spans="1:8" ht="16.5" x14ac:dyDescent="0.3">
      <c r="A8" s="30" t="s">
        <v>127</v>
      </c>
      <c r="B8" s="34">
        <f>Historical_Financials!B8*'Forecast Assumptions'!B11</f>
        <v>16709.5</v>
      </c>
      <c r="C8" s="34">
        <f>Historical_Financials!C8*'Forecast Assumptions'!C11</f>
        <v>15541.25</v>
      </c>
      <c r="D8" s="34">
        <f>Historical_Financials!D8*'Forecast Assumptions'!D11</f>
        <v>14827.75</v>
      </c>
      <c r="E8" s="34">
        <f>Historical_Financials!E8*'Forecast Assumptions'!E11</f>
        <v>13559.25</v>
      </c>
      <c r="F8" s="35">
        <f>Historical_Financials!F8*'Forecast Assumptions'!F11</f>
        <v>12113.25</v>
      </c>
    </row>
    <row r="9" spans="1:8" ht="16.5" x14ac:dyDescent="0.3">
      <c r="A9" s="30" t="s">
        <v>86</v>
      </c>
      <c r="B9" s="34">
        <f>B7-B8</f>
        <v>50045.75</v>
      </c>
      <c r="C9" s="34">
        <f t="shared" ref="C9:F9" si="0">C7-C8</f>
        <v>48289.75</v>
      </c>
      <c r="D9" s="34">
        <f t="shared" si="0"/>
        <v>45395.5</v>
      </c>
      <c r="E9" s="34">
        <f t="shared" si="0"/>
        <v>42805.25</v>
      </c>
      <c r="F9" s="35">
        <f t="shared" si="0"/>
        <v>35825.25</v>
      </c>
    </row>
    <row r="10" spans="1:8" ht="16.5" x14ac:dyDescent="0.3">
      <c r="A10" s="30" t="s">
        <v>128</v>
      </c>
      <c r="B10" s="34">
        <f>Historical_Financials!B6*'Forecast Assumptions'!B15</f>
        <v>5607.4410000000007</v>
      </c>
      <c r="C10" s="34">
        <f>Historical_Financials!C6*'Forecast Assumptions'!C15</f>
        <v>5361.8040000000001</v>
      </c>
      <c r="D10" s="34">
        <f>Historical_Financials!D6*'Forecast Assumptions'!D15</f>
        <v>5058.7530000000006</v>
      </c>
      <c r="E10" s="34">
        <f>Historical_Financials!E6*'Forecast Assumptions'!E15</f>
        <v>4734.6180000000004</v>
      </c>
      <c r="F10" s="35">
        <f>Historical_Financials!F6*'Forecast Assumptions'!F15</f>
        <v>4026.8340000000003</v>
      </c>
    </row>
    <row r="11" spans="1:8" ht="16.5" x14ac:dyDescent="0.3">
      <c r="A11" s="30" t="s">
        <v>129</v>
      </c>
      <c r="B11" s="34">
        <f>Historical_Financials!B6*'Forecast Assumptions'!B16</f>
        <v>3738.2939999999999</v>
      </c>
      <c r="C11" s="34">
        <f>Historical_Financials!C6*'Forecast Assumptions'!C16</f>
        <v>3574.5360000000001</v>
      </c>
      <c r="D11" s="34">
        <f>Historical_Financials!D6*'Forecast Assumptions'!D16</f>
        <v>3372.502</v>
      </c>
      <c r="E11" s="34">
        <f>Historical_Financials!E6*'Forecast Assumptions'!E16</f>
        <v>3156.4120000000003</v>
      </c>
      <c r="F11" s="35">
        <f>Historical_Financials!F6*'Forecast Assumptions'!F16</f>
        <v>2684.556</v>
      </c>
    </row>
    <row r="12" spans="1:8" ht="17" thickBot="1" x14ac:dyDescent="0.35">
      <c r="A12" s="31" t="s">
        <v>130</v>
      </c>
      <c r="B12" s="36">
        <f>Historical_Financials!B6*'Forecast Assumptions'!B17</f>
        <v>48063.78</v>
      </c>
      <c r="C12" s="36">
        <f>Historical_Financials!C6*'Forecast Assumptions'!C17</f>
        <v>45958.32</v>
      </c>
      <c r="D12" s="36">
        <f>Historical_Financials!D6*'Forecast Assumptions'!D17</f>
        <v>43360.74</v>
      </c>
      <c r="E12" s="36">
        <f>Historical_Financials!E6*'Forecast Assumptions'!E17</f>
        <v>40582.439999999995</v>
      </c>
      <c r="F12" s="37">
        <f>Historical_Financials!F6*'Forecast Assumptions'!F17</f>
        <v>34515.72</v>
      </c>
    </row>
  </sheetData>
  <mergeCells count="1"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5515-1330-4A7B-ADD8-56201BE3CD85}">
  <dimension ref="A1:G11"/>
  <sheetViews>
    <sheetView zoomScale="94" workbookViewId="0">
      <selection activeCell="J6" sqref="J6"/>
    </sheetView>
  </sheetViews>
  <sheetFormatPr defaultRowHeight="19.5" customHeight="1" x14ac:dyDescent="0.3"/>
  <cols>
    <col min="1" max="1" width="31.54296875" style="10" customWidth="1"/>
    <col min="2" max="6" width="9.90625" style="10" bestFit="1" customWidth="1"/>
    <col min="7" max="7" width="0.81640625" style="10" customWidth="1"/>
    <col min="8" max="16384" width="8.7265625" style="10"/>
  </cols>
  <sheetData>
    <row r="1" spans="1:7" ht="19.5" customHeight="1" x14ac:dyDescent="0.3">
      <c r="A1" s="166" t="s">
        <v>132</v>
      </c>
      <c r="B1" s="166"/>
      <c r="C1" s="166"/>
      <c r="D1" s="166"/>
      <c r="E1" s="166"/>
      <c r="F1" s="166"/>
      <c r="G1" s="166"/>
    </row>
    <row r="2" spans="1:7" ht="19.5" customHeight="1" x14ac:dyDescent="0.3">
      <c r="A2" s="166"/>
      <c r="B2" s="166"/>
      <c r="C2" s="166"/>
      <c r="D2" s="166"/>
      <c r="E2" s="166"/>
      <c r="F2" s="166"/>
      <c r="G2" s="166"/>
    </row>
    <row r="4" spans="1:7" ht="19.5" customHeight="1" thickBot="1" x14ac:dyDescent="0.35">
      <c r="A4" s="91" t="s">
        <v>125</v>
      </c>
      <c r="B4" s="149" t="s">
        <v>119</v>
      </c>
      <c r="C4" s="149" t="s">
        <v>120</v>
      </c>
      <c r="D4" s="149" t="s">
        <v>65</v>
      </c>
      <c r="E4" s="149" t="s">
        <v>121</v>
      </c>
      <c r="F4" s="149" t="s">
        <v>122</v>
      </c>
    </row>
    <row r="5" spans="1:7" ht="19.5" customHeight="1" x14ac:dyDescent="0.3">
      <c r="A5" s="147" t="s">
        <v>86</v>
      </c>
      <c r="B5" s="150">
        <f>'Projected Financial statements'!B9</f>
        <v>50045.75</v>
      </c>
      <c r="C5" s="151">
        <f>'Projected Financial statements'!C9</f>
        <v>48289.75</v>
      </c>
      <c r="D5" s="151">
        <f>'Projected Financial statements'!D9</f>
        <v>45395.5</v>
      </c>
      <c r="E5" s="151">
        <f>'Projected Financial statements'!E9</f>
        <v>42805.25</v>
      </c>
      <c r="F5" s="152">
        <f>'Projected Financial statements'!F9</f>
        <v>35825.25</v>
      </c>
      <c r="G5" s="9"/>
    </row>
    <row r="6" spans="1:7" ht="19.5" customHeight="1" x14ac:dyDescent="0.3">
      <c r="A6" s="147" t="s">
        <v>133</v>
      </c>
      <c r="B6" s="153">
        <f>'Projected Financial statements'!B10</f>
        <v>5607.4410000000007</v>
      </c>
      <c r="C6" s="49">
        <f>'Projected Financial statements'!C10</f>
        <v>5361.8040000000001</v>
      </c>
      <c r="D6" s="49">
        <f>'Projected Financial statements'!D10</f>
        <v>5058.7530000000006</v>
      </c>
      <c r="E6" s="49">
        <f>'Projected Financial statements'!E10</f>
        <v>4734.6180000000004</v>
      </c>
      <c r="F6" s="154">
        <f>'Projected Financial statements'!F10</f>
        <v>4026.8340000000003</v>
      </c>
      <c r="G6" s="9"/>
    </row>
    <row r="7" spans="1:7" ht="19.5" customHeight="1" x14ac:dyDescent="0.3">
      <c r="A7" s="147" t="s">
        <v>134</v>
      </c>
      <c r="B7" s="153">
        <f>'Projected Financial statements'!B11</f>
        <v>3738.2939999999999</v>
      </c>
      <c r="C7" s="49">
        <f>'Projected Financial statements'!C11</f>
        <v>3574.5360000000001</v>
      </c>
      <c r="D7" s="49">
        <f>'Projected Financial statements'!D11</f>
        <v>3372.502</v>
      </c>
      <c r="E7" s="49">
        <f>'Projected Financial statements'!E11</f>
        <v>3156.4120000000003</v>
      </c>
      <c r="F7" s="154">
        <f>'Projected Financial statements'!F11</f>
        <v>2684.556</v>
      </c>
      <c r="G7" s="9"/>
    </row>
    <row r="8" spans="1:7" ht="19.5" customHeight="1" x14ac:dyDescent="0.3">
      <c r="A8" s="147" t="s">
        <v>135</v>
      </c>
      <c r="B8" s="153">
        <f>'Projected Financial statements'!B12-Historical_Financials!B21</f>
        <v>43282.78</v>
      </c>
      <c r="C8" s="49">
        <f>'Projected Financial statements'!C12-'Projected Financial statements'!B12</f>
        <v>-2105.4599999999991</v>
      </c>
      <c r="D8" s="49">
        <f>'Projected Financial statements'!D12-'Projected Financial statements'!C12</f>
        <v>-2597.5800000000017</v>
      </c>
      <c r="E8" s="49">
        <f>'Projected Financial statements'!E12-'Projected Financial statements'!D12</f>
        <v>-2778.3000000000029</v>
      </c>
      <c r="F8" s="154">
        <f>'Projected Financial statements'!F12-'Projected Financial statements'!E12</f>
        <v>-6066.7199999999939</v>
      </c>
      <c r="G8" s="9"/>
    </row>
    <row r="9" spans="1:7" ht="19.5" customHeight="1" x14ac:dyDescent="0.35">
      <c r="A9" s="148" t="s">
        <v>131</v>
      </c>
      <c r="B9" s="155">
        <f>B5+B6-B7-B8</f>
        <v>8632.1169999999984</v>
      </c>
      <c r="C9" s="81">
        <f t="shared" ref="C9:F9" si="0">C5+C6-C7-C8</f>
        <v>52182.478000000003</v>
      </c>
      <c r="D9" s="81">
        <f t="shared" si="0"/>
        <v>49679.330999999998</v>
      </c>
      <c r="E9" s="81">
        <f t="shared" si="0"/>
        <v>47161.756000000008</v>
      </c>
      <c r="F9" s="99">
        <f t="shared" si="0"/>
        <v>43234.248</v>
      </c>
    </row>
    <row r="10" spans="1:7" ht="19.5" customHeight="1" x14ac:dyDescent="0.35">
      <c r="A10" s="94" t="s">
        <v>161</v>
      </c>
      <c r="B10" s="155">
        <f>1/(1+Assumptions!B67)^1</f>
        <v>0.92816038611472074</v>
      </c>
      <c r="C10" s="81">
        <f>1/(1+Assumptions!B67)^2</f>
        <v>0.86148170235262744</v>
      </c>
      <c r="D10" s="81">
        <f>1/(1+Assumptions!B67)^3</f>
        <v>0.79959318948638147</v>
      </c>
      <c r="E10" s="81">
        <f>1/(1+Assumptions!B67)^4</f>
        <v>0.74215072348838096</v>
      </c>
      <c r="F10" s="99">
        <f>1/(1+Assumptions!B67)^5</f>
        <v>0.68883490206829501</v>
      </c>
    </row>
    <row r="11" spans="1:7" ht="19.5" customHeight="1" thickBot="1" x14ac:dyDescent="0.4">
      <c r="A11" s="94" t="s">
        <v>173</v>
      </c>
      <c r="B11" s="156">
        <f>B9*B10</f>
        <v>8011.9890477074432</v>
      </c>
      <c r="C11" s="101">
        <f t="shared" ref="C11:F11" si="1">C9*C10</f>
        <v>44954.249980418535</v>
      </c>
      <c r="D11" s="101">
        <f t="shared" si="1"/>
        <v>39723.254725839666</v>
      </c>
      <c r="E11" s="101">
        <f t="shared" si="1"/>
        <v>35001.131336382496</v>
      </c>
      <c r="F11" s="102">
        <f t="shared" si="1"/>
        <v>29781.25898707638</v>
      </c>
    </row>
  </sheetData>
  <mergeCells count="1">
    <mergeCell ref="A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2DAE-3600-4A0C-B641-B0B9D069EDF0}">
  <dimension ref="A1:E34"/>
  <sheetViews>
    <sheetView zoomScale="133" workbookViewId="0">
      <selection sqref="A1:E2"/>
    </sheetView>
  </sheetViews>
  <sheetFormatPr defaultRowHeight="14" x14ac:dyDescent="0.3"/>
  <cols>
    <col min="1" max="1" width="45.81640625" style="10" customWidth="1"/>
    <col min="2" max="2" width="14.1796875" style="10" customWidth="1"/>
    <col min="3" max="3" width="4.1796875" style="10" customWidth="1"/>
    <col min="4" max="4" width="2.26953125" style="10" customWidth="1"/>
    <col min="5" max="5" width="1.26953125" style="10" customWidth="1"/>
    <col min="6" max="16384" width="8.7265625" style="10"/>
  </cols>
  <sheetData>
    <row r="1" spans="1:5" x14ac:dyDescent="0.3">
      <c r="A1" s="166" t="s">
        <v>139</v>
      </c>
      <c r="B1" s="166"/>
      <c r="C1" s="166"/>
      <c r="D1" s="166"/>
      <c r="E1" s="166"/>
    </row>
    <row r="2" spans="1:5" x14ac:dyDescent="0.3">
      <c r="A2" s="166"/>
      <c r="B2" s="166"/>
      <c r="C2" s="166"/>
      <c r="D2" s="166"/>
      <c r="E2" s="166"/>
    </row>
    <row r="4" spans="1:5" ht="17.5" x14ac:dyDescent="0.35">
      <c r="A4" s="90" t="s">
        <v>155</v>
      </c>
    </row>
    <row r="5" spans="1:5" x14ac:dyDescent="0.3">
      <c r="A5" s="85" t="s">
        <v>140</v>
      </c>
      <c r="B5" s="85" t="s">
        <v>16</v>
      </c>
    </row>
    <row r="6" spans="1:5" x14ac:dyDescent="0.3">
      <c r="A6" s="86" t="s">
        <v>141</v>
      </c>
      <c r="B6" s="87">
        <v>6.1800000000000001E-2</v>
      </c>
      <c r="C6" s="10" t="s">
        <v>149</v>
      </c>
    </row>
    <row r="7" spans="1:5" x14ac:dyDescent="0.3">
      <c r="A7" s="86" t="s">
        <v>41</v>
      </c>
      <c r="B7" s="75">
        <v>0.24</v>
      </c>
    </row>
    <row r="8" spans="1:5" x14ac:dyDescent="0.3">
      <c r="A8" s="86" t="s">
        <v>150</v>
      </c>
      <c r="B8" s="87">
        <v>0.1241</v>
      </c>
    </row>
    <row r="9" spans="1:5" x14ac:dyDescent="0.3">
      <c r="A9" s="86" t="s">
        <v>142</v>
      </c>
      <c r="B9" s="87">
        <f>B8-B6</f>
        <v>6.2300000000000001E-2</v>
      </c>
    </row>
    <row r="10" spans="1:5" x14ac:dyDescent="0.3">
      <c r="A10" s="86" t="s">
        <v>54</v>
      </c>
      <c r="B10" s="87">
        <f>B6+B7*B9</f>
        <v>7.6752000000000001E-2</v>
      </c>
    </row>
    <row r="12" spans="1:5" ht="17.5" x14ac:dyDescent="0.35">
      <c r="A12" s="90" t="s">
        <v>143</v>
      </c>
    </row>
    <row r="13" spans="1:5" x14ac:dyDescent="0.3">
      <c r="A13" s="85" t="s">
        <v>140</v>
      </c>
      <c r="B13" s="85" t="s">
        <v>16</v>
      </c>
    </row>
    <row r="14" spans="1:5" x14ac:dyDescent="0.3">
      <c r="A14" s="86" t="s">
        <v>70</v>
      </c>
      <c r="B14" s="75">
        <v>1227</v>
      </c>
    </row>
    <row r="15" spans="1:5" x14ac:dyDescent="0.3">
      <c r="A15" s="86" t="s">
        <v>60</v>
      </c>
      <c r="B15" s="75">
        <v>11283</v>
      </c>
    </row>
    <row r="16" spans="1:5" x14ac:dyDescent="0.3">
      <c r="A16" s="86" t="s">
        <v>144</v>
      </c>
      <c r="B16" s="87">
        <f>B14/B15</f>
        <v>0.10874767349109279</v>
      </c>
    </row>
    <row r="17" spans="1:2" x14ac:dyDescent="0.3">
      <c r="A17" s="86" t="s">
        <v>123</v>
      </c>
      <c r="B17" s="88">
        <v>0.25</v>
      </c>
    </row>
    <row r="18" spans="1:2" x14ac:dyDescent="0.3">
      <c r="A18" s="86" t="s">
        <v>67</v>
      </c>
      <c r="B18" s="87">
        <f>B16*(1-B17)</f>
        <v>8.1560755118319589E-2</v>
      </c>
    </row>
    <row r="20" spans="1:2" ht="17.5" x14ac:dyDescent="0.35">
      <c r="A20" s="90" t="s">
        <v>148</v>
      </c>
    </row>
    <row r="21" spans="1:2" x14ac:dyDescent="0.3">
      <c r="A21" s="85" t="s">
        <v>140</v>
      </c>
      <c r="B21" s="85" t="s">
        <v>16</v>
      </c>
    </row>
    <row r="22" spans="1:2" x14ac:dyDescent="0.3">
      <c r="A22" s="86" t="s">
        <v>145</v>
      </c>
      <c r="B22" s="75">
        <v>814500</v>
      </c>
    </row>
    <row r="23" spans="1:2" x14ac:dyDescent="0.3">
      <c r="A23" s="86" t="s">
        <v>146</v>
      </c>
      <c r="B23" s="75">
        <f>Historical_Financials!B30</f>
        <v>11283</v>
      </c>
    </row>
    <row r="24" spans="1:2" x14ac:dyDescent="0.3">
      <c r="A24" s="86" t="s">
        <v>55</v>
      </c>
      <c r="B24" s="89">
        <f>B22+B23-Historical_Financials!B29</f>
        <v>819366</v>
      </c>
    </row>
    <row r="25" spans="1:2" x14ac:dyDescent="0.3">
      <c r="A25" s="86" t="s">
        <v>68</v>
      </c>
      <c r="B25" s="75">
        <f>B22/B24</f>
        <v>0.99406126200013178</v>
      </c>
    </row>
    <row r="26" spans="1:2" x14ac:dyDescent="0.3">
      <c r="A26" s="86" t="s">
        <v>69</v>
      </c>
      <c r="B26" s="75">
        <f>B23/B24</f>
        <v>1.3770402970101273E-2</v>
      </c>
    </row>
    <row r="28" spans="1:2" ht="17.5" x14ac:dyDescent="0.35">
      <c r="A28" s="90" t="s">
        <v>147</v>
      </c>
    </row>
    <row r="29" spans="1:2" x14ac:dyDescent="0.3">
      <c r="A29" s="85" t="s">
        <v>140</v>
      </c>
      <c r="B29" s="85" t="s">
        <v>16</v>
      </c>
    </row>
    <row r="30" spans="1:2" x14ac:dyDescent="0.3">
      <c r="A30" s="86" t="s">
        <v>54</v>
      </c>
      <c r="B30" s="87">
        <f>B10</f>
        <v>7.6752000000000001E-2</v>
      </c>
    </row>
    <row r="31" spans="1:2" x14ac:dyDescent="0.3">
      <c r="A31" s="86" t="s">
        <v>67</v>
      </c>
      <c r="B31" s="87">
        <f>B18</f>
        <v>8.1560755118319589E-2</v>
      </c>
    </row>
    <row r="32" spans="1:2" x14ac:dyDescent="0.3">
      <c r="A32" s="86" t="s">
        <v>68</v>
      </c>
      <c r="B32" s="87">
        <f>B25</f>
        <v>0.99406126200013178</v>
      </c>
    </row>
    <row r="33" spans="1:2" x14ac:dyDescent="0.3">
      <c r="A33" s="86" t="s">
        <v>69</v>
      </c>
      <c r="B33" s="87">
        <f>B26</f>
        <v>1.3770402970101273E-2</v>
      </c>
    </row>
    <row r="34" spans="1:2" x14ac:dyDescent="0.3">
      <c r="A34" s="85" t="s">
        <v>154</v>
      </c>
      <c r="B34" s="87">
        <f>(B30*B32)+(B31*B33)</f>
        <v>7.741931444555912E-2</v>
      </c>
    </row>
  </sheetData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3614-DFE3-4E52-B2E9-AB004FC1D1F2}">
  <dimension ref="A1:C10"/>
  <sheetViews>
    <sheetView zoomScale="114" zoomScaleNormal="114" workbookViewId="0">
      <selection activeCell="D9" sqref="D9"/>
    </sheetView>
  </sheetViews>
  <sheetFormatPr defaultRowHeight="14" x14ac:dyDescent="0.3"/>
  <cols>
    <col min="1" max="1" width="31.90625" style="10" customWidth="1"/>
    <col min="2" max="2" width="13.7265625" style="10" customWidth="1"/>
    <col min="3" max="3" width="22.7265625" style="10" customWidth="1"/>
    <col min="4" max="16384" width="8.7265625" style="10"/>
  </cols>
  <sheetData>
    <row r="1" spans="1:3" x14ac:dyDescent="0.3">
      <c r="A1" s="166" t="s">
        <v>156</v>
      </c>
      <c r="B1" s="166"/>
      <c r="C1" s="166"/>
    </row>
    <row r="2" spans="1:3" x14ac:dyDescent="0.3">
      <c r="A2" s="166"/>
      <c r="B2" s="166"/>
      <c r="C2" s="166"/>
    </row>
    <row r="3" spans="1:3" ht="14.5" thickBot="1" x14ac:dyDescent="0.35"/>
    <row r="4" spans="1:3" ht="16.5" x14ac:dyDescent="0.35">
      <c r="A4" s="106" t="s">
        <v>140</v>
      </c>
      <c r="B4" s="107" t="s">
        <v>16</v>
      </c>
      <c r="C4" s="108" t="s">
        <v>157</v>
      </c>
    </row>
    <row r="5" spans="1:3" ht="16.5" x14ac:dyDescent="0.35">
      <c r="A5" s="98" t="s">
        <v>158</v>
      </c>
      <c r="B5" s="83">
        <f>FCFF!F9</f>
        <v>43234.248</v>
      </c>
      <c r="C5" s="99"/>
    </row>
    <row r="6" spans="1:3" ht="16.5" x14ac:dyDescent="0.35">
      <c r="A6" s="98" t="s">
        <v>50</v>
      </c>
      <c r="B6" s="84">
        <f>'CAPM &amp; WACC'!B34</f>
        <v>7.741931444555912E-2</v>
      </c>
      <c r="C6" s="99"/>
    </row>
    <row r="7" spans="1:3" ht="16.5" x14ac:dyDescent="0.35">
      <c r="A7" s="98" t="s">
        <v>159</v>
      </c>
      <c r="B7" s="84">
        <v>3.5000000000000003E-2</v>
      </c>
      <c r="C7" s="109" t="s">
        <v>166</v>
      </c>
    </row>
    <row r="8" spans="1:3" ht="16.5" x14ac:dyDescent="0.35">
      <c r="A8" s="98" t="s">
        <v>160</v>
      </c>
      <c r="B8" s="83">
        <f>(B5*(1+B7))/(B6-B7)</f>
        <v>1054883.7779410321</v>
      </c>
      <c r="C8" s="109" t="s">
        <v>163</v>
      </c>
    </row>
    <row r="9" spans="1:3" ht="16.5" x14ac:dyDescent="0.35">
      <c r="A9" s="98" t="s">
        <v>161</v>
      </c>
      <c r="B9" s="83">
        <f>1/(1+B6)^5</f>
        <v>0.68877316200554362</v>
      </c>
      <c r="C9" s="109" t="s">
        <v>164</v>
      </c>
    </row>
    <row r="10" spans="1:3" ht="17" thickBot="1" x14ac:dyDescent="0.4">
      <c r="A10" s="100" t="s">
        <v>162</v>
      </c>
      <c r="B10" s="110">
        <f>B8*B9</f>
        <v>726575.63528079842</v>
      </c>
      <c r="C10" s="111" t="s">
        <v>165</v>
      </c>
    </row>
  </sheetData>
  <mergeCells count="1">
    <mergeCell ref="A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CC28-A50D-4ECA-B8C5-C81C1943DD64}">
  <dimension ref="A1:D12"/>
  <sheetViews>
    <sheetView workbookViewId="0">
      <selection activeCell="A4" sqref="A4:C12"/>
    </sheetView>
  </sheetViews>
  <sheetFormatPr defaultRowHeight="14" x14ac:dyDescent="0.3"/>
  <cols>
    <col min="1" max="1" width="33.36328125" style="10" customWidth="1"/>
    <col min="2" max="2" width="19.08984375" style="10" customWidth="1"/>
    <col min="3" max="3" width="26.08984375" style="10" customWidth="1"/>
    <col min="4" max="4" width="9.36328125" style="10" bestFit="1" customWidth="1"/>
    <col min="5" max="16384" width="8.7265625" style="10"/>
  </cols>
  <sheetData>
    <row r="1" spans="1:4" x14ac:dyDescent="0.3">
      <c r="A1" s="168" t="s">
        <v>167</v>
      </c>
      <c r="B1" s="168"/>
      <c r="C1" s="168"/>
    </row>
    <row r="2" spans="1:4" x14ac:dyDescent="0.3">
      <c r="A2" s="168"/>
      <c r="B2" s="168"/>
      <c r="C2" s="168"/>
    </row>
    <row r="3" spans="1:4" ht="14.5" thickBot="1" x14ac:dyDescent="0.35"/>
    <row r="4" spans="1:4" ht="17" thickBot="1" x14ac:dyDescent="0.4">
      <c r="A4" s="112" t="s">
        <v>140</v>
      </c>
      <c r="B4" s="113" t="s">
        <v>16</v>
      </c>
      <c r="C4" s="114" t="s">
        <v>157</v>
      </c>
    </row>
    <row r="5" spans="1:4" ht="16.5" x14ac:dyDescent="0.35">
      <c r="A5" s="115" t="s">
        <v>168</v>
      </c>
      <c r="B5" s="80">
        <f>SUM(FCFF!B11:F11)</f>
        <v>157471.88407742453</v>
      </c>
      <c r="C5" s="109" t="s">
        <v>174</v>
      </c>
    </row>
    <row r="6" spans="1:4" ht="16.5" x14ac:dyDescent="0.35">
      <c r="A6" s="115" t="s">
        <v>162</v>
      </c>
      <c r="B6" s="80">
        <f>Terminal_value!B10</f>
        <v>726575.63528079842</v>
      </c>
      <c r="C6" s="109"/>
    </row>
    <row r="7" spans="1:4" ht="16.5" x14ac:dyDescent="0.35">
      <c r="A7" s="115" t="s">
        <v>55</v>
      </c>
      <c r="B7" s="80">
        <f>B5+B6</f>
        <v>884047.51935822295</v>
      </c>
      <c r="C7" s="109" t="s">
        <v>175</v>
      </c>
    </row>
    <row r="8" spans="1:4" ht="16.5" x14ac:dyDescent="0.35">
      <c r="A8" s="115" t="s">
        <v>169</v>
      </c>
      <c r="B8" s="81">
        <f>Historical_Financials!B30</f>
        <v>11283</v>
      </c>
      <c r="C8" s="109"/>
    </row>
    <row r="9" spans="1:4" ht="16.5" x14ac:dyDescent="0.35">
      <c r="A9" s="115" t="s">
        <v>170</v>
      </c>
      <c r="B9" s="81">
        <f>Historical_Financials!B29</f>
        <v>6417</v>
      </c>
      <c r="C9" s="109"/>
    </row>
    <row r="10" spans="1:4" ht="16.5" x14ac:dyDescent="0.35">
      <c r="A10" s="115" t="s">
        <v>56</v>
      </c>
      <c r="B10" s="80">
        <f>B7-B8+B9</f>
        <v>879181.51935822295</v>
      </c>
      <c r="C10" s="109" t="s">
        <v>176</v>
      </c>
    </row>
    <row r="11" spans="1:4" ht="16.5" x14ac:dyDescent="0.35">
      <c r="A11" s="115" t="s">
        <v>171</v>
      </c>
      <c r="B11" s="80">
        <v>361.80875179999998</v>
      </c>
      <c r="C11" s="109"/>
    </row>
    <row r="12" spans="1:4" ht="17" thickBot="1" x14ac:dyDescent="0.4">
      <c r="A12" s="116" t="s">
        <v>172</v>
      </c>
      <c r="B12" s="117">
        <f>B10/B11</f>
        <v>2429.962003363079</v>
      </c>
      <c r="C12" s="111" t="s">
        <v>177</v>
      </c>
      <c r="D12" s="23"/>
    </row>
  </sheetData>
  <mergeCells count="1">
    <mergeCell ref="A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2D23-9995-4AE7-8E13-1AB42D9B8B01}">
  <sheetPr>
    <outlinePr summaryBelow="0"/>
  </sheetPr>
  <dimension ref="B1:I11"/>
  <sheetViews>
    <sheetView showGridLines="0" workbookViewId="0">
      <selection activeCell="E12" sqref="E12"/>
    </sheetView>
  </sheetViews>
  <sheetFormatPr defaultRowHeight="14.5" outlineLevelRow="1" outlineLevelCol="1" x14ac:dyDescent="0.35"/>
  <cols>
    <col min="3" max="3" width="4.453125" bestFit="1" customWidth="1"/>
    <col min="4" max="9" width="12.54296875" bestFit="1" customWidth="1" outlineLevel="1"/>
  </cols>
  <sheetData>
    <row r="1" spans="2:9" ht="15" thickBot="1" x14ac:dyDescent="0.4"/>
    <row r="2" spans="2:9" ht="15.5" x14ac:dyDescent="0.35">
      <c r="B2" s="118" t="s">
        <v>189</v>
      </c>
      <c r="C2" s="16"/>
      <c r="D2" s="19"/>
      <c r="E2" s="19"/>
      <c r="F2" s="19"/>
      <c r="G2" s="19"/>
      <c r="H2" s="19"/>
      <c r="I2" s="119"/>
    </row>
    <row r="3" spans="2:9" ht="15.5" collapsed="1" x14ac:dyDescent="0.35">
      <c r="B3" s="120"/>
      <c r="C3" s="15"/>
      <c r="D3" s="20" t="s">
        <v>191</v>
      </c>
      <c r="E3" s="20" t="s">
        <v>183</v>
      </c>
      <c r="F3" s="20" t="s">
        <v>185</v>
      </c>
      <c r="G3" s="20" t="s">
        <v>186</v>
      </c>
      <c r="H3" s="20" t="s">
        <v>187</v>
      </c>
      <c r="I3" s="121" t="s">
        <v>188</v>
      </c>
    </row>
    <row r="4" spans="2:9" ht="31.5" hidden="1" outlineLevel="1" x14ac:dyDescent="0.35">
      <c r="B4" s="122"/>
      <c r="C4" s="123"/>
      <c r="E4" s="124" t="s">
        <v>184</v>
      </c>
      <c r="F4" s="124" t="s">
        <v>184</v>
      </c>
      <c r="G4" s="124" t="s">
        <v>184</v>
      </c>
      <c r="H4" s="124" t="s">
        <v>184</v>
      </c>
      <c r="I4" s="125" t="s">
        <v>184</v>
      </c>
    </row>
    <row r="5" spans="2:9" x14ac:dyDescent="0.35">
      <c r="B5" s="126" t="s">
        <v>190</v>
      </c>
      <c r="C5" s="18"/>
      <c r="D5" s="17"/>
      <c r="E5" s="17"/>
      <c r="F5" s="17"/>
      <c r="G5" s="17"/>
      <c r="H5" s="17"/>
      <c r="I5" s="127"/>
    </row>
    <row r="6" spans="2:9" outlineLevel="1" x14ac:dyDescent="0.35">
      <c r="B6" s="122"/>
      <c r="C6" s="123" t="s">
        <v>181</v>
      </c>
      <c r="D6" s="128">
        <v>8.5000000000000006E-2</v>
      </c>
      <c r="E6" s="129">
        <v>0.03</v>
      </c>
      <c r="F6" s="129">
        <v>8.5000000000000006E-2</v>
      </c>
      <c r="G6" s="129">
        <v>7.7399999999999997E-2</v>
      </c>
      <c r="H6" s="129">
        <v>7.4999999999999997E-2</v>
      </c>
      <c r="I6" s="130">
        <v>7.0000000000000007E-2</v>
      </c>
    </row>
    <row r="7" spans="2:9" outlineLevel="1" x14ac:dyDescent="0.35">
      <c r="B7" s="122"/>
      <c r="C7" s="123" t="s">
        <v>182</v>
      </c>
      <c r="D7" s="128">
        <v>3.2500000000000001E-2</v>
      </c>
      <c r="E7" s="129">
        <v>8.5000000000000006E-2</v>
      </c>
      <c r="F7" s="129">
        <v>3.2500000000000001E-2</v>
      </c>
      <c r="G7" s="129">
        <v>3.5000000000000003E-2</v>
      </c>
      <c r="H7" s="129">
        <v>3.7499999999999999E-2</v>
      </c>
      <c r="I7" s="130">
        <v>0.04</v>
      </c>
    </row>
    <row r="8" spans="2:9" ht="15" thickBot="1" x14ac:dyDescent="0.4">
      <c r="B8" s="131"/>
      <c r="C8" s="21"/>
      <c r="D8" s="22"/>
      <c r="E8" s="22"/>
      <c r="F8" s="22"/>
      <c r="G8" s="22"/>
      <c r="H8" s="22"/>
      <c r="I8" s="132"/>
    </row>
    <row r="9" spans="2:9" x14ac:dyDescent="0.35">
      <c r="B9" t="s">
        <v>192</v>
      </c>
    </row>
    <row r="10" spans="2:9" x14ac:dyDescent="0.35">
      <c r="B10" t="s">
        <v>193</v>
      </c>
    </row>
    <row r="11" spans="2:9" x14ac:dyDescent="0.35">
      <c r="B11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FB06-EF86-45F3-AE2E-48CF3CDEF11F}">
  <dimension ref="A1:J10"/>
  <sheetViews>
    <sheetView zoomScale="144" workbookViewId="0">
      <selection activeCell="H9" sqref="H9"/>
    </sheetView>
  </sheetViews>
  <sheetFormatPr defaultRowHeight="14" x14ac:dyDescent="0.3"/>
  <cols>
    <col min="1" max="8" width="8.7265625" style="10"/>
    <col min="9" max="9" width="21" style="10" customWidth="1"/>
    <col min="10" max="16384" width="8.7265625" style="10"/>
  </cols>
  <sheetData>
    <row r="1" spans="1:10" x14ac:dyDescent="0.3">
      <c r="A1" s="168" t="s">
        <v>180</v>
      </c>
      <c r="B1" s="168"/>
      <c r="C1" s="168"/>
      <c r="D1" s="168"/>
      <c r="E1" s="168"/>
      <c r="F1" s="168"/>
      <c r="G1" s="168"/>
      <c r="I1" s="10" t="s">
        <v>195</v>
      </c>
      <c r="J1" s="14">
        <f>Terminal_value!B6</f>
        <v>7.741931444555912E-2</v>
      </c>
    </row>
    <row r="2" spans="1:10" x14ac:dyDescent="0.3">
      <c r="A2" s="168"/>
      <c r="B2" s="168"/>
      <c r="C2" s="168"/>
      <c r="D2" s="168"/>
      <c r="E2" s="168"/>
      <c r="F2" s="168"/>
      <c r="G2" s="168"/>
      <c r="I2" s="10" t="s">
        <v>196</v>
      </c>
      <c r="J2" s="14">
        <f>Terminal_value!B7</f>
        <v>3.5000000000000003E-2</v>
      </c>
    </row>
    <row r="3" spans="1:10" x14ac:dyDescent="0.3">
      <c r="I3" s="10" t="s">
        <v>197</v>
      </c>
      <c r="J3" s="10">
        <f>(
SUM(FCFF!B11:F11)
+
((FCFF!F9*(1+$J$2))/($J$1-$J$2))/(1+$J$1)^5
-Historical_Financials!B30
+Historical_Financials!B29
)
/DCF_valuation!B11</f>
        <v>2429.962003363079</v>
      </c>
    </row>
    <row r="4" spans="1:10" ht="14.5" thickBot="1" x14ac:dyDescent="0.35"/>
    <row r="5" spans="1:10" ht="14.5" thickBot="1" x14ac:dyDescent="0.35">
      <c r="A5" s="64">
        <f>J3</f>
        <v>2429.962003363079</v>
      </c>
      <c r="B5" s="68">
        <v>0.03</v>
      </c>
      <c r="C5" s="69">
        <v>3.2500000000000001E-2</v>
      </c>
      <c r="D5" s="69">
        <v>3.5000000000000003E-2</v>
      </c>
      <c r="E5" s="69">
        <v>3.7499999999999999E-2</v>
      </c>
      <c r="F5" s="70">
        <v>0.04</v>
      </c>
      <c r="J5" s="14"/>
    </row>
    <row r="6" spans="1:10" x14ac:dyDescent="0.3">
      <c r="A6" s="65">
        <v>7.0000000000000007E-2</v>
      </c>
      <c r="B6" s="71">
        <f t="dataTable" ref="B6:F10" dt2D="1" dtr="1" r1="J2" r2="J1"/>
        <v>2615.6373441957662</v>
      </c>
      <c r="C6" s="72">
        <v>2767.5739710812127</v>
      </c>
      <c r="D6" s="72">
        <v>2941.2158303788647</v>
      </c>
      <c r="E6" s="72">
        <v>3141.5718218761554</v>
      </c>
      <c r="F6" s="73">
        <v>3375.3204786229958</v>
      </c>
      <c r="J6" s="14"/>
    </row>
    <row r="7" spans="1:10" x14ac:dyDescent="0.3">
      <c r="A7" s="66">
        <v>7.4999999999999997E-2</v>
      </c>
      <c r="B7" s="74">
        <v>2326.9450695702435</v>
      </c>
      <c r="C7" s="75">
        <v>2443.9094297433694</v>
      </c>
      <c r="D7" s="75">
        <v>2575.4943349381365</v>
      </c>
      <c r="E7" s="75">
        <v>2724.6238941588726</v>
      </c>
      <c r="F7" s="76">
        <v>2895.0576761254279</v>
      </c>
    </row>
    <row r="8" spans="1:10" x14ac:dyDescent="0.3">
      <c r="A8" s="66">
        <v>7.7399999999999997E-2</v>
      </c>
      <c r="B8" s="74">
        <v>2210.4257602797661</v>
      </c>
      <c r="C8" s="75">
        <v>2314.5990268943665</v>
      </c>
      <c r="D8" s="75">
        <v>2431.0568768361604</v>
      </c>
      <c r="E8" s="75">
        <v>2562.1084423095081</v>
      </c>
      <c r="F8" s="76">
        <v>2710.6802705466716</v>
      </c>
    </row>
    <row r="9" spans="1:10" x14ac:dyDescent="0.3">
      <c r="A9" s="66">
        <v>0.08</v>
      </c>
      <c r="B9" s="74">
        <v>2097.1041646769295</v>
      </c>
      <c r="C9" s="75">
        <v>2189.5591245362684</v>
      </c>
      <c r="D9" s="75">
        <v>2292.2868577133122</v>
      </c>
      <c r="E9" s="75">
        <v>2407.1002065582443</v>
      </c>
      <c r="F9" s="76">
        <v>2536.2652240087918</v>
      </c>
    </row>
    <row r="10" spans="1:10" ht="14.5" thickBot="1" x14ac:dyDescent="0.35">
      <c r="A10" s="67">
        <v>8.5000000000000006E-2</v>
      </c>
      <c r="B10" s="77">
        <v>1910.0319190347702</v>
      </c>
      <c r="C10" s="78">
        <v>1984.685028997862</v>
      </c>
      <c r="D10" s="78">
        <v>2066.8034499572627</v>
      </c>
      <c r="E10" s="78">
        <v>2157.5659152281801</v>
      </c>
      <c r="F10" s="79">
        <v>2258.413098862532</v>
      </c>
    </row>
  </sheetData>
  <scenarios current="1" show="1">
    <scenario name="Bear Case" locked="1" count="2" user="Dinesh Kumar" comment="Created by Dinesh Kumar on 26-07-2026">
      <inputCells r="J5" val="0.03"/>
      <inputCells r="J6" val="0.085"/>
    </scenario>
    <scenario name="Conservative" locked="1" count="2" user="Dinesh Kumar" comment="Created by Dinesh Kumar on 26-07-2026">
      <inputCells r="J5" val="0.085"/>
      <inputCells r="J6" val="0.0325"/>
    </scenario>
    <scenario name="Base Case" locked="1" count="2" user="Dinesh Kumar" comment="Created by Dinesh Kumar on 26-07-2026">
      <inputCells r="J5" val="0.0774"/>
      <inputCells r="J6" val="0.035"/>
    </scenario>
    <scenario name="Optimistic Case" locked="1" count="2" user="Dinesh Kumar" comment="Created by Dinesh Kumar on 26-07-2026">
      <inputCells r="J5" val="0.075"/>
      <inputCells r="J6" val="0.0375"/>
    </scenario>
    <scenario name="Bull Case" locked="1" count="2" user="Dinesh Kumar" comment="Created by Dinesh Kumar on 26-07-2026">
      <inputCells r="J5" val="0.07"/>
      <inputCells r="J6" val="0.04"/>
    </scenario>
  </scenarios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8A92-59AC-4360-9823-001D52DF92CB}">
  <dimension ref="A1:AB6"/>
  <sheetViews>
    <sheetView zoomScale="48" zoomScaleNormal="118" workbookViewId="0">
      <selection activeCell="V16" sqref="V16"/>
    </sheetView>
  </sheetViews>
  <sheetFormatPr defaultRowHeight="14" x14ac:dyDescent="0.3"/>
  <cols>
    <col min="1" max="13" width="8.7265625" style="10"/>
    <col min="14" max="14" width="2.6328125" style="10" customWidth="1"/>
    <col min="15" max="15" width="8.7265625" style="10"/>
    <col min="16" max="17" width="8.7265625" style="24"/>
    <col min="18" max="18" width="11.81640625" style="24" customWidth="1"/>
    <col min="19" max="19" width="8.7265625" style="24"/>
    <col min="20" max="20" width="8.7265625" style="24" customWidth="1"/>
    <col min="21" max="23" width="8.7265625" style="24"/>
    <col min="24" max="24" width="8.7265625" style="24" customWidth="1"/>
    <col min="25" max="28" width="8.7265625" style="24"/>
    <col min="29" max="16384" width="8.7265625" style="10"/>
  </cols>
  <sheetData>
    <row r="1" spans="1:28" ht="35" customHeight="1" x14ac:dyDescent="0.3">
      <c r="A1" s="169" t="s">
        <v>198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28" ht="17" customHeight="1" x14ac:dyDescent="0.35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P2" s="24">
        <f>(Intrinsic_Value_Per_Share/2307)-1</f>
        <v>5.3299524648062091E-2</v>
      </c>
      <c r="R2" s="25" t="s">
        <v>110</v>
      </c>
    </row>
    <row r="3" spans="1:28" ht="17.5" x14ac:dyDescent="0.35">
      <c r="A3" s="170" t="s">
        <v>167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P3" s="24" t="str">
        <f>IF(P2&gt;0.15,"BUY",
IF(P2&lt;-0.15,"SELL","HOLD"))</f>
        <v>HOLD</v>
      </c>
      <c r="R3" s="26" t="s">
        <v>111</v>
      </c>
    </row>
    <row r="5" spans="1:28" ht="16.5" x14ac:dyDescent="0.35">
      <c r="R5" s="24" t="s">
        <v>110</v>
      </c>
      <c r="S5" s="27" t="s">
        <v>77</v>
      </c>
      <c r="T5" s="27" t="s">
        <v>76</v>
      </c>
      <c r="U5" s="27" t="s">
        <v>25</v>
      </c>
      <c r="V5" s="27" t="s">
        <v>75</v>
      </c>
      <c r="W5" s="27" t="s">
        <v>74</v>
      </c>
      <c r="X5" s="25" t="s">
        <v>119</v>
      </c>
      <c r="Y5" s="25" t="s">
        <v>120</v>
      </c>
      <c r="Z5" s="25" t="s">
        <v>65</v>
      </c>
      <c r="AA5" s="25" t="s">
        <v>121</v>
      </c>
      <c r="AB5" s="25" t="s">
        <v>122</v>
      </c>
    </row>
    <row r="6" spans="1:28" ht="16.5" x14ac:dyDescent="0.35">
      <c r="R6" s="24" t="s">
        <v>78</v>
      </c>
      <c r="S6" s="24">
        <f>(Historical_Financials!F6/Historical_Financials!G6)-1</f>
        <v>0.1679711530847805</v>
      </c>
      <c r="T6" s="24">
        <f>(Historical_Financials!E6/Historical_Financials!F6)-1</f>
        <v>0.17576686796624852</v>
      </c>
      <c r="U6" s="24">
        <f>(Historical_Financials!D6/Historical_Financials!E6)-1</f>
        <v>6.8460644554639849E-2</v>
      </c>
      <c r="V6" s="24">
        <f>(Historical_Financials!C6/Historical_Financials!D6)-1</f>
        <v>5.9906265437351891E-2</v>
      </c>
      <c r="W6" s="24">
        <f>(Historical_Financials!B6/Historical_Financials!C6)-1</f>
        <v>4.581237956478823E-2</v>
      </c>
      <c r="X6" s="28">
        <v>0.06</v>
      </c>
      <c r="Y6" s="28">
        <v>0.06</v>
      </c>
      <c r="Z6" s="28">
        <v>5.7500000000000002E-2</v>
      </c>
      <c r="AA6" s="28">
        <v>5.5E-2</v>
      </c>
      <c r="AB6" s="28">
        <v>5.2499999999999998E-2</v>
      </c>
    </row>
  </sheetData>
  <mergeCells count="2">
    <mergeCell ref="A1:N2"/>
    <mergeCell ref="A3:N3"/>
  </mergeCells>
  <phoneticPr fontId="1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Cover</vt:lpstr>
      <vt:lpstr>Assumptions</vt:lpstr>
      <vt:lpstr>Historical_Financials</vt:lpstr>
      <vt:lpstr>Forecast Assumptions</vt:lpstr>
      <vt:lpstr>Projected Financial statements</vt:lpstr>
      <vt:lpstr>FCFF</vt:lpstr>
      <vt:lpstr>CAPM &amp; WACC</vt:lpstr>
      <vt:lpstr>Terminal_value</vt:lpstr>
      <vt:lpstr>DCF_valuation</vt:lpstr>
      <vt:lpstr>Scenario Summary</vt:lpstr>
      <vt:lpstr>Sensitivity_Analysis</vt:lpstr>
      <vt:lpstr>Dashboard</vt:lpstr>
      <vt:lpstr>Intrinsic_Value_Per_Share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</dc:creator>
  <cp:lastModifiedBy>J B</cp:lastModifiedBy>
  <dcterms:created xsi:type="dcterms:W3CDTF">2026-07-24T09:56:43Z</dcterms:created>
  <dcterms:modified xsi:type="dcterms:W3CDTF">2026-07-27T18:06:17Z</dcterms:modified>
</cp:coreProperties>
</file>