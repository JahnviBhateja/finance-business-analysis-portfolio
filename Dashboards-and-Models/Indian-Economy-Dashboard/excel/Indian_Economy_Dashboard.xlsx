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asco\OneDrive\Documents\"/>
    </mc:Choice>
  </mc:AlternateContent>
  <xr:revisionPtr revIDLastSave="0" documentId="8_{F34705B6-C634-4FF1-871F-3622C2007920}" xr6:coauthVersionLast="47" xr6:coauthVersionMax="47" xr10:uidLastSave="{00000000-0000-0000-0000-000000000000}"/>
  <bookViews>
    <workbookView xWindow="-110" yWindow="-110" windowWidth="19420" windowHeight="10300" tabRatio="847" xr2:uid="{4DB7AD8C-D42E-4388-8B8C-B1D77878BABB}"/>
  </bookViews>
  <sheets>
    <sheet name="Raw Data" sheetId="1" r:id="rId1"/>
    <sheet name="Table" sheetId="2" r:id="rId2"/>
    <sheet name="Pivot Tables" sheetId="7" r:id="rId3"/>
    <sheet name="Dashboard" sheetId="4" r:id="rId4"/>
    <sheet name="Documentation" sheetId="3" r:id="rId5"/>
  </sheets>
  <definedNames>
    <definedName name="Slicer_Year">#N/A</definedName>
  </definedNames>
  <calcPr calcId="0"/>
  <pivotCaches>
    <pivotCache cacheId="6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<sst xmlns="http://schemas.openxmlformats.org/spreadsheetml/2006/main" count="69" uniqueCount="54">
  <si>
    <t>Year</t>
  </si>
  <si>
    <t>GDP</t>
  </si>
  <si>
    <t>Inflation</t>
  </si>
  <si>
    <t>Exchange rate</t>
  </si>
  <si>
    <t>Industrial_Production</t>
  </si>
  <si>
    <t>Forex_Reserves</t>
  </si>
  <si>
    <t>Exports</t>
  </si>
  <si>
    <t>Row Labels</t>
  </si>
  <si>
    <t>Grand Total</t>
  </si>
  <si>
    <t>G D P</t>
  </si>
  <si>
    <t xml:space="preserve"> Industrial Production </t>
  </si>
  <si>
    <t>_Exports</t>
  </si>
  <si>
    <t xml:space="preserve">Exchange_rate </t>
  </si>
  <si>
    <t>Inflation_</t>
  </si>
  <si>
    <t>INDIAN ECONOMY DASHBOARD</t>
  </si>
  <si>
    <t>Exchange Rate</t>
  </si>
  <si>
    <t>Industrial Production</t>
  </si>
  <si>
    <t>Forex Reserves</t>
  </si>
  <si>
    <t>36.3 Lakh Cr</t>
  </si>
  <si>
    <t>₹8,45,000Cr</t>
  </si>
  <si>
    <t>₹92.73/USD</t>
  </si>
  <si>
    <t>Project</t>
  </si>
  <si>
    <t>Indian Economy Dashboard</t>
  </si>
  <si>
    <t>Objective</t>
  </si>
  <si>
    <t>Indicators Used</t>
  </si>
  <si>
    <t>• GDP</t>
  </si>
  <si>
    <t>• Inflation</t>
  </si>
  <si>
    <t>• Exchange Rate</t>
  </si>
  <si>
    <t>• Industrial Production</t>
  </si>
  <si>
    <t>• Exports</t>
  </si>
  <si>
    <t>• Forex Reserves</t>
  </si>
  <si>
    <t>Skills</t>
  </si>
  <si>
    <t>Key Insights</t>
  </si>
  <si>
    <t>• GDP has shown long-term growth.</t>
  </si>
  <si>
    <t>• Exchange rate depreciated over time.</t>
  </si>
  <si>
    <t>• Exports increased significantly after 2021.</t>
  </si>
  <si>
    <t>• Industrial production recovered following recent slowdowns.</t>
  </si>
  <si>
    <t>Assumptions</t>
  </si>
  <si>
    <t>Develop an interactive Excel dashboard to visualize and analyze long-term trends in key Indian macroeconomic indicators using Pivot Tables, Pivot Charts, and KPI summaries.</t>
  </si>
  <si>
    <t>• Excel Tables</t>
  </si>
  <si>
    <t>• Pivot Tables</t>
  </si>
  <si>
    <t>• Pivot Charts</t>
  </si>
  <si>
    <t>• Interactive Slicers</t>
  </si>
  <si>
    <t>• KPI Cards</t>
  </si>
  <si>
    <t>• Dashboard Design</t>
  </si>
  <si>
    <t>• Data Formatting &amp; Visualization</t>
  </si>
  <si>
    <t>• Inflation fluctuated over the study period, with notable peaks around 2009–2011.</t>
  </si>
  <si>
    <t>• Missing values were retained where historical observations were unavailable.</t>
  </si>
  <si>
    <t>• Data from multiple sources was merged using the Year variable.</t>
  </si>
  <si>
    <t>• Charts represent annual observations.</t>
  </si>
  <si>
    <t>• Some indicators begin later than others due to differences in historical data availability.</t>
  </si>
  <si>
    <t>• The dashboard presents annual data and does not capture intra-year variations.</t>
  </si>
  <si>
    <t>• Findings are descriptive and should not be interpreted as causal relationships.</t>
  </si>
  <si>
    <t>Limitatiions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</si>
</sst>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75" formatCode="&quot;₹&quot;\ #,##0"/>
  </numFmts>
  <fonts count="27"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22"/>
      <color theme="0"/>
      <name val="Century Gothic"/>
      <family val="2"/>
      <scheme val="minor"/>
    </font>
    <font>
      <sz val="24"/>
      <color theme="5" tint="0.79998168889431442"/>
      <name val="Arial Black"/>
      <family val="2"/>
    </font>
    <font>
      <sz val="11"/>
      <color theme="5" tint="0.79998168889431442"/>
      <name val="Century Gothic"/>
      <family val="2"/>
      <scheme val="minor"/>
    </font>
    <font>
      <b/>
      <sz val="16"/>
      <color theme="0"/>
      <name val="Century Gothic"/>
      <family val="2"/>
      <scheme val="minor"/>
    </font>
    <font>
      <b/>
      <sz val="28"/>
      <color theme="0"/>
      <name val="Century Gothic"/>
      <family val="2"/>
      <scheme val="minor"/>
    </font>
    <font>
      <b/>
      <sz val="24"/>
      <color theme="1"/>
      <name val="Times New Roman"/>
      <family val="1"/>
    </font>
    <font>
      <b/>
      <sz val="24"/>
      <color theme="4" tint="-0.249977111117893"/>
      <name val="Times New Roman"/>
      <family val="1"/>
    </font>
    <font>
      <b/>
      <sz val="11"/>
      <color theme="1"/>
      <name val="Times New Roman"/>
      <family val="1"/>
    </font>
    <font>
      <sz val="11"/>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0" xfId="0" applyAlignment="1"/>
    <xf numFmtId="0" fontId="0" fillId="0" borderId="0" xfId="0" applyNumberFormat="1"/>
    <xf numFmtId="0" fontId="0" fillId="0" borderId="0" xfId="0" pivotButton="1"/>
    <xf numFmtId="0" fontId="0" fillId="0" borderId="0" xfId="0" applyAlignment="1">
      <alignment horizontal="left"/>
    </xf>
    <xf numFmtId="0" fontId="16" fillId="0" borderId="0" xfId="0" applyFont="1"/>
    <xf numFmtId="0" fontId="17" fillId="0" borderId="0" xfId="0" applyFont="1"/>
    <xf numFmtId="0" fontId="19" fillId="0" borderId="0" xfId="0" applyFont="1" applyFill="1" applyAlignment="1">
      <alignment horizontal="center" vertical="center"/>
    </xf>
    <xf numFmtId="0" fontId="20" fillId="0" borderId="0" xfId="0" applyFont="1" applyFill="1"/>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9" fillId="33" borderId="0" xfId="0" applyFont="1" applyFill="1" applyAlignment="1">
      <alignment horizontal="center" vertical="center"/>
    </xf>
    <xf numFmtId="0" fontId="21" fillId="0" borderId="0" xfId="0" applyFont="1"/>
    <xf numFmtId="0" fontId="21" fillId="0" borderId="14" xfId="0" applyFont="1" applyBorder="1" applyAlignment="1">
      <alignment horizontal="center"/>
    </xf>
    <xf numFmtId="12" fontId="0" fillId="0" borderId="0" xfId="0" applyNumberFormat="1"/>
    <xf numFmtId="1" fontId="0" fillId="0" borderId="0" xfId="0" applyNumberFormat="1"/>
    <xf numFmtId="175" fontId="0" fillId="0" borderId="0" xfId="0" applyNumberFormat="1"/>
    <xf numFmtId="1" fontId="16" fillId="0" borderId="0" xfId="0" applyNumberFormat="1" applyFont="1"/>
    <xf numFmtId="0" fontId="22" fillId="33" borderId="10" xfId="0" applyNumberFormat="1" applyFont="1" applyFill="1" applyBorder="1" applyAlignment="1">
      <alignment horizontal="center"/>
    </xf>
    <xf numFmtId="0" fontId="22" fillId="33" borderId="11" xfId="0" applyNumberFormat="1" applyFont="1" applyFill="1" applyBorder="1" applyAlignment="1">
      <alignment horizontal="center"/>
    </xf>
    <xf numFmtId="0" fontId="22" fillId="33" borderId="12" xfId="0" applyNumberFormat="1" applyFont="1" applyFill="1" applyBorder="1" applyAlignment="1">
      <alignment horizontal="center"/>
    </xf>
    <xf numFmtId="0" fontId="22" fillId="33" borderId="13" xfId="0" applyNumberFormat="1" applyFont="1" applyFill="1" applyBorder="1" applyAlignment="1">
      <alignment horizontal="center"/>
    </xf>
    <xf numFmtId="0" fontId="18" fillId="33" borderId="10" xfId="7" applyNumberFormat="1" applyFont="1" applyFill="1" applyBorder="1" applyAlignment="1">
      <alignment horizontal="center"/>
    </xf>
    <xf numFmtId="0" fontId="18" fillId="33" borderId="11" xfId="7" applyNumberFormat="1" applyFont="1" applyFill="1" applyBorder="1" applyAlignment="1">
      <alignment horizontal="center"/>
    </xf>
    <xf numFmtId="0" fontId="18" fillId="33" borderId="12" xfId="7" applyNumberFormat="1" applyFont="1" applyFill="1" applyBorder="1" applyAlignment="1">
      <alignment horizontal="center"/>
    </xf>
    <xf numFmtId="0" fontId="18" fillId="33" borderId="13" xfId="7" applyNumberFormat="1" applyFont="1" applyFill="1" applyBorder="1" applyAlignment="1">
      <alignment horizontal="center"/>
    </xf>
    <xf numFmtId="10" fontId="18" fillId="33" borderId="10" xfId="0" applyNumberFormat="1" applyFont="1" applyFill="1" applyBorder="1" applyAlignment="1">
      <alignment horizontal="center"/>
    </xf>
    <xf numFmtId="8" fontId="18" fillId="33" borderId="10" xfId="0" applyNumberFormat="1" applyFont="1" applyFill="1" applyBorder="1" applyAlignment="1">
      <alignment horizontal="center"/>
    </xf>
    <xf numFmtId="0" fontId="23" fillId="0" borderId="0" xfId="0" applyFont="1"/>
    <xf numFmtId="0" fontId="24" fillId="0" borderId="0" xfId="0" applyFont="1"/>
    <xf numFmtId="0" fontId="26" fillId="0" borderId="0" xfId="0" applyFont="1"/>
    <xf numFmtId="0" fontId="26" fillId="0" borderId="10" xfId="0" applyFont="1" applyBorder="1"/>
    <xf numFmtId="0" fontId="26" fillId="0" borderId="11" xfId="0" applyFont="1" applyBorder="1"/>
    <xf numFmtId="0" fontId="26" fillId="0" borderId="15" xfId="0" applyFont="1" applyBorder="1"/>
    <xf numFmtId="0" fontId="26" fillId="0" borderId="16" xfId="0" applyFont="1" applyBorder="1"/>
    <xf numFmtId="0" fontId="26" fillId="0" borderId="12" xfId="0" applyFont="1" applyBorder="1"/>
    <xf numFmtId="0" fontId="26" fillId="0" borderId="13" xfId="0" applyFont="1" applyBorder="1"/>
    <xf numFmtId="0" fontId="25" fillId="0" borderId="10" xfId="0" applyFont="1" applyBorder="1"/>
    <xf numFmtId="0" fontId="25" fillId="0" borderId="17" xfId="0" applyFont="1" applyBorder="1"/>
    <xf numFmtId="0" fontId="26" fillId="0" borderId="18" xfId="0"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75" formatCode="&quot;₹&quot;\ #,##0"/>
    </dxf>
  </dxfs>
  <tableStyles count="0" defaultTableStyle="TableStyleMedium2" defaultPivotStyle="PivotStyleLight16"/>
  <colors>
    <mruColors>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[Indian_Economy_Dashboard.xlsx]Pivot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GDP Growth (1997–2025)</a:t>
            </a: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Tables'!$A$4:$A$31</c:f>
              <c:strCache>
                <c:ptCount val="27"/>
                <c:pt idx="0">
                  <c:v>1997</c:v>
                </c:pt>
                <c:pt idx="1">
                  <c:v>1998</c:v>
                </c:pt>
                <c:pt idx="2">
                  <c:v>1999</c:v>
                </c:pt>
                <c:pt idx="3">
                  <c:v>2000</c:v>
                </c:pt>
                <c:pt idx="4">
                  <c:v>2001</c:v>
                </c:pt>
                <c:pt idx="5">
                  <c:v>2002</c:v>
                </c:pt>
                <c:pt idx="6">
                  <c:v>2003</c:v>
                </c:pt>
                <c:pt idx="7">
                  <c:v>2004</c:v>
                </c:pt>
                <c:pt idx="8">
                  <c:v>2005</c:v>
                </c:pt>
                <c:pt idx="9">
                  <c:v>2006</c:v>
                </c:pt>
                <c:pt idx="10">
                  <c:v>2008</c:v>
                </c:pt>
                <c:pt idx="11">
                  <c:v>2010</c:v>
                </c:pt>
                <c:pt idx="12">
                  <c:v>2011</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'Pivot Tables'!$B$4:$B$31</c:f>
              <c:numCache>
                <c:formatCode>General</c:formatCode>
                <c:ptCount val="27"/>
                <c:pt idx="0">
                  <c:v>608093.5</c:v>
                </c:pt>
                <c:pt idx="1">
                  <c:v>644683.9</c:v>
                </c:pt>
                <c:pt idx="2">
                  <c:v>689324.5</c:v>
                </c:pt>
                <c:pt idx="3">
                  <c:v>728354.6</c:v>
                </c:pt>
                <c:pt idx="4">
                  <c:v>756637.5</c:v>
                </c:pt>
                <c:pt idx="5">
                  <c:v>791449.3</c:v>
                </c:pt>
                <c:pt idx="6">
                  <c:v>845814.2</c:v>
                </c:pt>
                <c:pt idx="7">
                  <c:v>911152.4</c:v>
                </c:pt>
                <c:pt idx="8">
                  <c:v>993306.1</c:v>
                </c:pt>
                <c:pt idx="9">
                  <c:v>1086039</c:v>
                </c:pt>
                <c:pt idx="10">
                  <c:v>1269547</c:v>
                </c:pt>
                <c:pt idx="11">
                  <c:v>1480055</c:v>
                </c:pt>
                <c:pt idx="12">
                  <c:v>1595095</c:v>
                </c:pt>
                <c:pt idx="13">
                  <c:v>1791203</c:v>
                </c:pt>
                <c:pt idx="14">
                  <c:v>1916714</c:v>
                </c:pt>
                <c:pt idx="15">
                  <c:v>2060492</c:v>
                </c:pt>
                <c:pt idx="16">
                  <c:v>2246004</c:v>
                </c:pt>
                <c:pt idx="17">
                  <c:v>2383280</c:v>
                </c:pt>
                <c:pt idx="18">
                  <c:v>2556453</c:v>
                </c:pt>
                <c:pt idx="19">
                  <c:v>2673906</c:v>
                </c:pt>
                <c:pt idx="20">
                  <c:v>2510261</c:v>
                </c:pt>
                <c:pt idx="21">
                  <c:v>2749380</c:v>
                </c:pt>
                <c:pt idx="22">
                  <c:v>2942618</c:v>
                </c:pt>
                <c:pt idx="23">
                  <c:v>3150165</c:v>
                </c:pt>
                <c:pt idx="24">
                  <c:v>3377677</c:v>
                </c:pt>
                <c:pt idx="25">
                  <c:v>3630711</c:v>
                </c:pt>
              </c:numCache>
            </c:numRef>
          </c:val>
          <c:smooth val="0"/>
          <c:extLst>
            <c:ext xmlns:c16="http://schemas.microsoft.com/office/drawing/2014/chart" uri="{C3380CC4-5D6E-409C-BE32-E72D297353CC}">
              <c16:uniqueId val="{00000000-92E5-4D21-8304-EA748F902CBB}"/>
            </c:ext>
          </c:extLst>
        </c:ser>
        <c:dLbls>
          <c:showLegendKey val="0"/>
          <c:showVal val="0"/>
          <c:showCatName val="0"/>
          <c:showSerName val="0"/>
          <c:showPercent val="0"/>
          <c:showBubbleSize val="0"/>
        </c:dLbls>
        <c:marker val="1"/>
        <c:smooth val="0"/>
        <c:axId val="836163088"/>
        <c:axId val="836168848"/>
      </c:lineChart>
      <c:catAx>
        <c:axId val="83616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6168848"/>
        <c:crosses val="autoZero"/>
        <c:auto val="1"/>
        <c:lblAlgn val="ctr"/>
        <c:lblOffset val="100"/>
        <c:noMultiLvlLbl val="0"/>
      </c:catAx>
      <c:valAx>
        <c:axId val="83616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6163088"/>
        <c:crosses val="autoZero"/>
        <c:crossBetween val="between"/>
      </c:valAx>
      <c:spPr>
        <a:solidFill>
          <a:schemeClr val="lt1"/>
        </a:solidFill>
        <a:ln w="1270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innerShdw blurRad="114300">
        <a:schemeClr val="bg1"/>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[Indian_Economy_Dashboard.xlsx]Pivot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IN">
                <a:solidFill>
                  <a:schemeClr val="dk1"/>
                </a:solidFill>
                <a:latin typeface="Times New Roman" panose="02020603050405020304" pitchFamily="18" charset="0"/>
                <a:ea typeface="+mn-ea"/>
                <a:cs typeface="Times New Roman" panose="02020603050405020304" pitchFamily="18" charset="0"/>
              </a:rPr>
              <a:t>Inflation</a:t>
            </a:r>
            <a:r>
              <a:rPr lang="en-IN" baseline="0">
                <a:solidFill>
                  <a:schemeClr val="dk1"/>
                </a:solidFill>
                <a:latin typeface="Times New Roman" panose="02020603050405020304" pitchFamily="18" charset="0"/>
                <a:ea typeface="+mn-ea"/>
                <a:cs typeface="Times New Roman" panose="02020603050405020304" pitchFamily="18" charset="0"/>
              </a:rPr>
              <a:t> Trend</a:t>
            </a:r>
            <a:endParaRPr lang="en-IN">
              <a:latin typeface="Times New Roman" panose="02020603050405020304" pitchFamily="18" charset="0"/>
              <a:cs typeface="Times New Roman" panose="02020603050405020304" pitchFamily="18" charset="0"/>
            </a:endParaRPr>
          </a:p>
        </c:rich>
      </c:tx>
      <c:overlay val="0"/>
      <c:spPr>
        <a:solidFill>
          <a:schemeClr val="lt1"/>
        </a:solidFill>
        <a:ln w="12700"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Tables'!$E$4:$E$31</c:f>
              <c:strCache>
                <c:ptCount val="27"/>
                <c:pt idx="0">
                  <c:v>1997</c:v>
                </c:pt>
                <c:pt idx="1">
                  <c:v>1998</c:v>
                </c:pt>
                <c:pt idx="2">
                  <c:v>1999</c:v>
                </c:pt>
                <c:pt idx="3">
                  <c:v>2000</c:v>
                </c:pt>
                <c:pt idx="4">
                  <c:v>2001</c:v>
                </c:pt>
                <c:pt idx="5">
                  <c:v>2002</c:v>
                </c:pt>
                <c:pt idx="6">
                  <c:v>2003</c:v>
                </c:pt>
                <c:pt idx="7">
                  <c:v>2004</c:v>
                </c:pt>
                <c:pt idx="8">
                  <c:v>2005</c:v>
                </c:pt>
                <c:pt idx="9">
                  <c:v>2006</c:v>
                </c:pt>
                <c:pt idx="10">
                  <c:v>2008</c:v>
                </c:pt>
                <c:pt idx="11">
                  <c:v>2010</c:v>
                </c:pt>
                <c:pt idx="12">
                  <c:v>2011</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'Pivot Tables'!$F$4:$F$31</c:f>
              <c:numCache>
                <c:formatCode>General</c:formatCode>
                <c:ptCount val="27"/>
                <c:pt idx="5">
                  <c:v>5.2064159999999999</c:v>
                </c:pt>
                <c:pt idx="6">
                  <c:v>4.3395400000000004</c:v>
                </c:pt>
                <c:pt idx="7">
                  <c:v>3.85364</c:v>
                </c:pt>
                <c:pt idx="8">
                  <c:v>3.7394759999999998</c:v>
                </c:pt>
                <c:pt idx="9">
                  <c:v>6.0615319999999997</c:v>
                </c:pt>
                <c:pt idx="10">
                  <c:v>8.5712869999999999</c:v>
                </c:pt>
                <c:pt idx="11">
                  <c:v>10.359859999999999</c:v>
                </c:pt>
                <c:pt idx="12">
                  <c:v>8.3098270000000003</c:v>
                </c:pt>
                <c:pt idx="13">
                  <c:v>10.41286</c:v>
                </c:pt>
                <c:pt idx="14">
                  <c:v>6.6375310000000001</c:v>
                </c:pt>
                <c:pt idx="15">
                  <c:v>4.8735439999999999</c:v>
                </c:pt>
                <c:pt idx="16">
                  <c:v>4.974869</c:v>
                </c:pt>
                <c:pt idx="17">
                  <c:v>3.3271700000000002</c:v>
                </c:pt>
                <c:pt idx="18">
                  <c:v>3.9204530000000002</c:v>
                </c:pt>
                <c:pt idx="19">
                  <c:v>3.7463220000000002</c:v>
                </c:pt>
                <c:pt idx="20">
                  <c:v>6.6141959999999997</c:v>
                </c:pt>
                <c:pt idx="21">
                  <c:v>5.1459970000000004</c:v>
                </c:pt>
                <c:pt idx="22">
                  <c:v>6.6778449999999996</c:v>
                </c:pt>
                <c:pt idx="23">
                  <c:v>5.654064</c:v>
                </c:pt>
                <c:pt idx="24">
                  <c:v>4.9782500000000001</c:v>
                </c:pt>
                <c:pt idx="25">
                  <c:v>2.1871010000000002</c:v>
                </c:pt>
                <c:pt idx="26">
                  <c:v>2.7436919999999998</c:v>
                </c:pt>
              </c:numCache>
            </c:numRef>
          </c:val>
          <c:smooth val="0"/>
          <c:extLst>
            <c:ext xmlns:c16="http://schemas.microsoft.com/office/drawing/2014/chart" uri="{C3380CC4-5D6E-409C-BE32-E72D297353CC}">
              <c16:uniqueId val="{00000000-CD1E-4A72-9874-AF5C486BFABD}"/>
            </c:ext>
          </c:extLst>
        </c:ser>
        <c:dLbls>
          <c:showLegendKey val="0"/>
          <c:showVal val="0"/>
          <c:showCatName val="0"/>
          <c:showSerName val="0"/>
          <c:showPercent val="0"/>
          <c:showBubbleSize val="0"/>
        </c:dLbls>
        <c:marker val="1"/>
        <c:smooth val="0"/>
        <c:axId val="836177008"/>
        <c:axId val="836162128"/>
      </c:lineChart>
      <c:catAx>
        <c:axId val="83617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6162128"/>
        <c:crosses val="autoZero"/>
        <c:auto val="1"/>
        <c:lblAlgn val="ctr"/>
        <c:lblOffset val="100"/>
        <c:noMultiLvlLbl val="0"/>
      </c:catAx>
      <c:valAx>
        <c:axId val="83616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6177008"/>
        <c:crosses val="autoZero"/>
        <c:crossBetween val="between"/>
      </c:valAx>
      <c:spPr>
        <a:solidFill>
          <a:schemeClr val="lt1"/>
        </a:solidFill>
        <a:ln w="1270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innerShdw blurRad="114300">
        <a:schemeClr val="bg1"/>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[Indian_Economy_Dashboard.xlsx]Pivot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b="0" cap="none" spc="0">
                <a:ln w="0"/>
                <a:solidFill>
                  <a:schemeClr val="dk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Exchange Rate Trend</a:t>
            </a:r>
            <a:endParaRPr lang="en-US"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Tables'!$I$4:$I$31</c:f>
              <c:strCache>
                <c:ptCount val="27"/>
                <c:pt idx="0">
                  <c:v>1997</c:v>
                </c:pt>
                <c:pt idx="1">
                  <c:v>1998</c:v>
                </c:pt>
                <c:pt idx="2">
                  <c:v>1999</c:v>
                </c:pt>
                <c:pt idx="3">
                  <c:v>2000</c:v>
                </c:pt>
                <c:pt idx="4">
                  <c:v>2001</c:v>
                </c:pt>
                <c:pt idx="5">
                  <c:v>2002</c:v>
                </c:pt>
                <c:pt idx="6">
                  <c:v>2003</c:v>
                </c:pt>
                <c:pt idx="7">
                  <c:v>2004</c:v>
                </c:pt>
                <c:pt idx="8">
                  <c:v>2005</c:v>
                </c:pt>
                <c:pt idx="9">
                  <c:v>2006</c:v>
                </c:pt>
                <c:pt idx="10">
                  <c:v>2008</c:v>
                </c:pt>
                <c:pt idx="11">
                  <c:v>2010</c:v>
                </c:pt>
                <c:pt idx="12">
                  <c:v>2011</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'Pivot Tables'!$J$4:$J$31</c:f>
              <c:numCache>
                <c:formatCode>General</c:formatCode>
                <c:ptCount val="27"/>
                <c:pt idx="0">
                  <c:v>36.320459999999997</c:v>
                </c:pt>
                <c:pt idx="1">
                  <c:v>41.237450000000003</c:v>
                </c:pt>
                <c:pt idx="2">
                  <c:v>43.057850000000002</c:v>
                </c:pt>
                <c:pt idx="3">
                  <c:v>44.940660000000001</c:v>
                </c:pt>
                <c:pt idx="4">
                  <c:v>47.179879999999997</c:v>
                </c:pt>
                <c:pt idx="5">
                  <c:v>48.593919999999997</c:v>
                </c:pt>
                <c:pt idx="6">
                  <c:v>46.574710000000003</c:v>
                </c:pt>
                <c:pt idx="7">
                  <c:v>45.300960000000003</c:v>
                </c:pt>
                <c:pt idx="8">
                  <c:v>44.097270000000002</c:v>
                </c:pt>
                <c:pt idx="9">
                  <c:v>45.28342</c:v>
                </c:pt>
                <c:pt idx="10">
                  <c:v>43.524410000000003</c:v>
                </c:pt>
                <c:pt idx="11">
                  <c:v>45.731589999999997</c:v>
                </c:pt>
                <c:pt idx="12">
                  <c:v>46.669089999999997</c:v>
                </c:pt>
                <c:pt idx="13">
                  <c:v>58.553049999999999</c:v>
                </c:pt>
                <c:pt idx="14">
                  <c:v>61.029409999999999</c:v>
                </c:pt>
                <c:pt idx="15">
                  <c:v>64.137910000000005</c:v>
                </c:pt>
                <c:pt idx="16">
                  <c:v>67.185159999999996</c:v>
                </c:pt>
                <c:pt idx="17">
                  <c:v>65.110119999999995</c:v>
                </c:pt>
                <c:pt idx="18">
                  <c:v>68.407169999999994</c:v>
                </c:pt>
                <c:pt idx="19">
                  <c:v>70.432230000000004</c:v>
                </c:pt>
                <c:pt idx="20">
                  <c:v>74.120840000000001</c:v>
                </c:pt>
                <c:pt idx="21">
                  <c:v>73.90728</c:v>
                </c:pt>
                <c:pt idx="22">
                  <c:v>78.59254</c:v>
                </c:pt>
                <c:pt idx="23">
                  <c:v>82.587360000000004</c:v>
                </c:pt>
                <c:pt idx="24">
                  <c:v>83.669169999999994</c:v>
                </c:pt>
                <c:pt idx="25">
                  <c:v>87.165930000000003</c:v>
                </c:pt>
                <c:pt idx="26">
                  <c:v>92.731960000000001</c:v>
                </c:pt>
              </c:numCache>
            </c:numRef>
          </c:val>
          <c:smooth val="0"/>
          <c:extLst>
            <c:ext xmlns:c16="http://schemas.microsoft.com/office/drawing/2014/chart" uri="{C3380CC4-5D6E-409C-BE32-E72D297353CC}">
              <c16:uniqueId val="{00000000-A87A-4651-B5B5-4DB8D534B8BE}"/>
            </c:ext>
          </c:extLst>
        </c:ser>
        <c:dLbls>
          <c:showLegendKey val="0"/>
          <c:showVal val="0"/>
          <c:showCatName val="0"/>
          <c:showSerName val="0"/>
          <c:showPercent val="0"/>
          <c:showBubbleSize val="0"/>
        </c:dLbls>
        <c:marker val="1"/>
        <c:smooth val="0"/>
        <c:axId val="1136658576"/>
        <c:axId val="1136657136"/>
      </c:lineChart>
      <c:catAx>
        <c:axId val="113665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36657136"/>
        <c:crosses val="autoZero"/>
        <c:auto val="1"/>
        <c:lblAlgn val="ctr"/>
        <c:lblOffset val="100"/>
        <c:noMultiLvlLbl val="0"/>
      </c:catAx>
      <c:valAx>
        <c:axId val="113665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36658576"/>
        <c:crosses val="autoZero"/>
        <c:crossBetween val="between"/>
      </c:valAx>
      <c:spPr>
        <a:solidFill>
          <a:schemeClr val="lt1"/>
        </a:solidFill>
        <a:ln w="1270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innerShdw blurRad="114300">
        <a:schemeClr val="bg1"/>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[Indian_Economy_Dashboard.xlsx]Pivot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Industrial Production Trend</a:t>
            </a: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Tables'!$M$4:$M$31</c:f>
              <c:strCache>
                <c:ptCount val="27"/>
                <c:pt idx="0">
                  <c:v>1997</c:v>
                </c:pt>
                <c:pt idx="1">
                  <c:v>1998</c:v>
                </c:pt>
                <c:pt idx="2">
                  <c:v>1999</c:v>
                </c:pt>
                <c:pt idx="3">
                  <c:v>2000</c:v>
                </c:pt>
                <c:pt idx="4">
                  <c:v>2001</c:v>
                </c:pt>
                <c:pt idx="5">
                  <c:v>2002</c:v>
                </c:pt>
                <c:pt idx="6">
                  <c:v>2003</c:v>
                </c:pt>
                <c:pt idx="7">
                  <c:v>2004</c:v>
                </c:pt>
                <c:pt idx="8">
                  <c:v>2005</c:v>
                </c:pt>
                <c:pt idx="9">
                  <c:v>2006</c:v>
                </c:pt>
                <c:pt idx="10">
                  <c:v>2008</c:v>
                </c:pt>
                <c:pt idx="11">
                  <c:v>2010</c:v>
                </c:pt>
                <c:pt idx="12">
                  <c:v>2011</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'Pivot Tables'!$N$4:$N$31</c:f>
              <c:numCache>
                <c:formatCode>General</c:formatCode>
                <c:ptCount val="27"/>
                <c:pt idx="1">
                  <c:v>220000000000</c:v>
                </c:pt>
                <c:pt idx="2">
                  <c:v>233000000000</c:v>
                </c:pt>
                <c:pt idx="3">
                  <c:v>247000000000</c:v>
                </c:pt>
                <c:pt idx="4">
                  <c:v>254000000000</c:v>
                </c:pt>
                <c:pt idx="5">
                  <c:v>267000000000</c:v>
                </c:pt>
                <c:pt idx="6">
                  <c:v>284000000000</c:v>
                </c:pt>
                <c:pt idx="7">
                  <c:v>315000000000</c:v>
                </c:pt>
                <c:pt idx="8">
                  <c:v>344000000000</c:v>
                </c:pt>
                <c:pt idx="9">
                  <c:v>386000000000</c:v>
                </c:pt>
                <c:pt idx="10">
                  <c:v>481000000000</c:v>
                </c:pt>
                <c:pt idx="11">
                  <c:v>528000000000</c:v>
                </c:pt>
                <c:pt idx="12">
                  <c:v>554000000000</c:v>
                </c:pt>
                <c:pt idx="13">
                  <c:v>568000000000</c:v>
                </c:pt>
                <c:pt idx="14">
                  <c:v>594000000000</c:v>
                </c:pt>
                <c:pt idx="15">
                  <c:v>609000000000</c:v>
                </c:pt>
                <c:pt idx="16">
                  <c:v>640000000000</c:v>
                </c:pt>
                <c:pt idx="17">
                  <c:v>663000000000</c:v>
                </c:pt>
                <c:pt idx="18">
                  <c:v>697000000000</c:v>
                </c:pt>
                <c:pt idx="19">
                  <c:v>702000000000</c:v>
                </c:pt>
                <c:pt idx="20">
                  <c:v>624000000000</c:v>
                </c:pt>
                <c:pt idx="21">
                  <c:v>705000000000</c:v>
                </c:pt>
                <c:pt idx="22">
                  <c:v>738000000000</c:v>
                </c:pt>
                <c:pt idx="23">
                  <c:v>780000000000</c:v>
                </c:pt>
                <c:pt idx="24">
                  <c:v>814000000000</c:v>
                </c:pt>
                <c:pt idx="25">
                  <c:v>845000000000</c:v>
                </c:pt>
              </c:numCache>
            </c:numRef>
          </c:val>
          <c:smooth val="0"/>
          <c:extLst>
            <c:ext xmlns:c16="http://schemas.microsoft.com/office/drawing/2014/chart" uri="{C3380CC4-5D6E-409C-BE32-E72D297353CC}">
              <c16:uniqueId val="{00000000-C231-45C6-823D-04C8F910B322}"/>
            </c:ext>
          </c:extLst>
        </c:ser>
        <c:dLbls>
          <c:showLegendKey val="0"/>
          <c:showVal val="0"/>
          <c:showCatName val="0"/>
          <c:showSerName val="0"/>
          <c:showPercent val="0"/>
          <c:showBubbleSize val="0"/>
        </c:dLbls>
        <c:marker val="1"/>
        <c:smooth val="0"/>
        <c:axId val="1280888944"/>
        <c:axId val="1280889424"/>
      </c:lineChart>
      <c:catAx>
        <c:axId val="128088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80889424"/>
        <c:crosses val="autoZero"/>
        <c:auto val="1"/>
        <c:lblAlgn val="ctr"/>
        <c:lblOffset val="100"/>
        <c:noMultiLvlLbl val="0"/>
      </c:catAx>
      <c:valAx>
        <c:axId val="128088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80888944"/>
        <c:crosses val="autoZero"/>
        <c:crossBetween val="between"/>
      </c:valAx>
      <c:spPr>
        <a:solidFill>
          <a:schemeClr val="lt1"/>
        </a:solidFill>
        <a:ln w="1270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innerShdw blurRad="114300">
        <a:schemeClr val="bg1">
          <a:lumMod val="95000"/>
        </a:scheme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[Indian_Economy_Dashboard.xlsx]Pivot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b="0" cap="none" spc="0">
                <a:ln w="0"/>
                <a:solidFill>
                  <a:schemeClr val="dk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Export Trend</a:t>
            </a:r>
            <a:endParaRPr lang="en-US"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Tables'!$R$3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Tables'!$Q$4:$Q$31</c:f>
              <c:strCache>
                <c:ptCount val="27"/>
                <c:pt idx="0">
                  <c:v>1997</c:v>
                </c:pt>
                <c:pt idx="1">
                  <c:v>1998</c:v>
                </c:pt>
                <c:pt idx="2">
                  <c:v>1999</c:v>
                </c:pt>
                <c:pt idx="3">
                  <c:v>2000</c:v>
                </c:pt>
                <c:pt idx="4">
                  <c:v>2001</c:v>
                </c:pt>
                <c:pt idx="5">
                  <c:v>2002</c:v>
                </c:pt>
                <c:pt idx="6">
                  <c:v>2003</c:v>
                </c:pt>
                <c:pt idx="7">
                  <c:v>2004</c:v>
                </c:pt>
                <c:pt idx="8">
                  <c:v>2005</c:v>
                </c:pt>
                <c:pt idx="9">
                  <c:v>2006</c:v>
                </c:pt>
                <c:pt idx="10">
                  <c:v>2008</c:v>
                </c:pt>
                <c:pt idx="11">
                  <c:v>2010</c:v>
                </c:pt>
                <c:pt idx="12">
                  <c:v>2011</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strCache>
            </c:strRef>
          </c:cat>
          <c:val>
            <c:numRef>
              <c:f>'Pivot Tables'!$R$4:$R$31</c:f>
              <c:numCache>
                <c:formatCode>General</c:formatCode>
                <c:ptCount val="27"/>
                <c:pt idx="0">
                  <c:v>1269.848</c:v>
                </c:pt>
                <c:pt idx="1">
                  <c:v>1378.671</c:v>
                </c:pt>
                <c:pt idx="2">
                  <c:v>1536.0250000000001</c:v>
                </c:pt>
                <c:pt idx="3">
                  <c:v>1909.3910000000001</c:v>
                </c:pt>
                <c:pt idx="4">
                  <c:v>2045.921</c:v>
                </c:pt>
                <c:pt idx="5">
                  <c:v>2455.3649999999998</c:v>
                </c:pt>
                <c:pt idx="6">
                  <c:v>2748.953</c:v>
                </c:pt>
                <c:pt idx="7">
                  <c:v>3475.7469999999998</c:v>
                </c:pt>
                <c:pt idx="8">
                  <c:v>4391.1499999999996</c:v>
                </c:pt>
                <c:pt idx="9">
                  <c:v>5520.65</c:v>
                </c:pt>
                <c:pt idx="10">
                  <c:v>8409.3590000000004</c:v>
                </c:pt>
                <c:pt idx="11">
                  <c:v>10284.620000000001</c:v>
                </c:pt>
                <c:pt idx="12">
                  <c:v>14104.24</c:v>
                </c:pt>
                <c:pt idx="13">
                  <c:v>18439.66</c:v>
                </c:pt>
                <c:pt idx="14">
                  <c:v>19670.8</c:v>
                </c:pt>
                <c:pt idx="15">
                  <c:v>17160.62</c:v>
                </c:pt>
                <c:pt idx="16">
                  <c:v>17758.97</c:v>
                </c:pt>
                <c:pt idx="17">
                  <c:v>19459.78</c:v>
                </c:pt>
                <c:pt idx="18">
                  <c:v>22228.36</c:v>
                </c:pt>
                <c:pt idx="19">
                  <c:v>22828.720000000001</c:v>
                </c:pt>
                <c:pt idx="20">
                  <c:v>20471.59</c:v>
                </c:pt>
                <c:pt idx="21">
                  <c:v>29332.47</c:v>
                </c:pt>
                <c:pt idx="22">
                  <c:v>35657.54</c:v>
                </c:pt>
                <c:pt idx="23">
                  <c:v>35714.6</c:v>
                </c:pt>
                <c:pt idx="24">
                  <c:v>37067.78</c:v>
                </c:pt>
              </c:numCache>
            </c:numRef>
          </c:val>
          <c:smooth val="0"/>
          <c:extLst>
            <c:ext xmlns:c16="http://schemas.microsoft.com/office/drawing/2014/chart" uri="{C3380CC4-5D6E-409C-BE32-E72D297353CC}">
              <c16:uniqueId val="{00000000-2594-453D-9C3F-F13897939AF2}"/>
            </c:ext>
          </c:extLst>
        </c:ser>
        <c:dLbls>
          <c:showLegendKey val="0"/>
          <c:showVal val="0"/>
          <c:showCatName val="0"/>
          <c:showSerName val="0"/>
          <c:showPercent val="0"/>
          <c:showBubbleSize val="0"/>
        </c:dLbls>
        <c:marker val="1"/>
        <c:smooth val="0"/>
        <c:axId val="1129047392"/>
        <c:axId val="843756432"/>
      </c:lineChart>
      <c:catAx>
        <c:axId val="112904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3756432"/>
        <c:crosses val="autoZero"/>
        <c:auto val="1"/>
        <c:lblAlgn val="ctr"/>
        <c:lblOffset val="100"/>
        <c:noMultiLvlLbl val="0"/>
      </c:catAx>
      <c:valAx>
        <c:axId val="84375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9047392"/>
        <c:crosses val="autoZero"/>
        <c:crossBetween val="between"/>
      </c:valAx>
      <c:spPr>
        <a:solidFill>
          <a:schemeClr val="lt1"/>
        </a:solidFill>
        <a:ln w="1270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innerShdw blurRad="114300">
        <a:schemeClr val="bg1">
          <a:lumMod val="95000"/>
        </a:scheme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77969</xdr:colOff>
      <xdr:row>9</xdr:row>
      <xdr:rowOff>54896</xdr:rowOff>
    </xdr:from>
    <xdr:to>
      <xdr:col>8</xdr:col>
      <xdr:colOff>249835</xdr:colOff>
      <xdr:row>22</xdr:row>
      <xdr:rowOff>31230</xdr:rowOff>
    </xdr:to>
    <xdr:graphicFrame macro="">
      <xdr:nvGraphicFramePr>
        <xdr:cNvPr id="2" name="Chart 1">
          <a:extLst>
            <a:ext uri="{FF2B5EF4-FFF2-40B4-BE49-F238E27FC236}">
              <a16:creationId xmlns:a16="http://schemas.microsoft.com/office/drawing/2014/main" id="{42D40081-B262-4056-9880-27111D5A0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316138</xdr:colOff>
      <xdr:row>9</xdr:row>
      <xdr:rowOff>75715</xdr:rowOff>
    </xdr:from>
    <xdr:to>
      <xdr:col>15</xdr:col>
      <xdr:colOff>6652</xdr:colOff>
      <xdr:row>21</xdr:row>
      <xdr:rowOff>124918</xdr:rowOff>
    </xdr:to>
    <xdr:graphicFrame macro="">
      <xdr:nvGraphicFramePr>
        <xdr:cNvPr id="3" name="Chart 2">
          <a:extLst>
            <a:ext uri="{FF2B5EF4-FFF2-40B4-BE49-F238E27FC236}">
              <a16:creationId xmlns:a16="http://schemas.microsoft.com/office/drawing/2014/main" id="{96719760-0361-4FFD-957B-45CE9ED23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35307</xdr:colOff>
      <xdr:row>9</xdr:row>
      <xdr:rowOff>75715</xdr:rowOff>
    </xdr:from>
    <xdr:to>
      <xdr:col>23</xdr:col>
      <xdr:colOff>783456</xdr:colOff>
      <xdr:row>21</xdr:row>
      <xdr:rowOff>124918</xdr:rowOff>
    </xdr:to>
    <xdr:graphicFrame macro="">
      <xdr:nvGraphicFramePr>
        <xdr:cNvPr id="4" name="Chart 3">
          <a:extLst>
            <a:ext uri="{FF2B5EF4-FFF2-40B4-BE49-F238E27FC236}">
              <a16:creationId xmlns:a16="http://schemas.microsoft.com/office/drawing/2014/main" id="{7044F020-5BFE-481A-9EFF-A733D6408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87563</xdr:colOff>
      <xdr:row>23</xdr:row>
      <xdr:rowOff>39250</xdr:rowOff>
    </xdr:from>
    <xdr:to>
      <xdr:col>8</xdr:col>
      <xdr:colOff>444500</xdr:colOff>
      <xdr:row>37</xdr:row>
      <xdr:rowOff>104098</xdr:rowOff>
    </xdr:to>
    <xdr:graphicFrame macro="">
      <xdr:nvGraphicFramePr>
        <xdr:cNvPr id="5" name="Chart 4">
          <a:extLst>
            <a:ext uri="{FF2B5EF4-FFF2-40B4-BE49-F238E27FC236}">
              <a16:creationId xmlns:a16="http://schemas.microsoft.com/office/drawing/2014/main" id="{08FE0D85-D2E7-4597-B13B-25F5388AB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560869</xdr:colOff>
      <xdr:row>23</xdr:row>
      <xdr:rowOff>60116</xdr:rowOff>
    </xdr:from>
    <xdr:to>
      <xdr:col>16</xdr:col>
      <xdr:colOff>484257</xdr:colOff>
      <xdr:row>37</xdr:row>
      <xdr:rowOff>83278</xdr:rowOff>
    </xdr:to>
    <xdr:graphicFrame macro="">
      <xdr:nvGraphicFramePr>
        <xdr:cNvPr id="6" name="Chart 5">
          <a:extLst>
            <a:ext uri="{FF2B5EF4-FFF2-40B4-BE49-F238E27FC236}">
              <a16:creationId xmlns:a16="http://schemas.microsoft.com/office/drawing/2014/main" id="{826DE375-8259-43F5-91EE-F6A807213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1873</xdr:colOff>
      <xdr:row>3</xdr:row>
      <xdr:rowOff>164334</xdr:rowOff>
    </xdr:from>
    <xdr:to>
      <xdr:col>23</xdr:col>
      <xdr:colOff>793229</xdr:colOff>
      <xdr:row>8</xdr:row>
      <xdr:rowOff>93689</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865B3729-D0E8-7A55-8A0F-D2F59F4E53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651112" y="702704"/>
              <a:ext cx="5194943" cy="1019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559352</xdr:colOff>
      <xdr:row>22</xdr:row>
      <xdr:rowOff>18775</xdr:rowOff>
    </xdr:from>
    <xdr:to>
      <xdr:col>23</xdr:col>
      <xdr:colOff>800653</xdr:colOff>
      <xdr:row>37</xdr:row>
      <xdr:rowOff>124240</xdr:rowOff>
    </xdr:to>
    <xdr:sp macro="" textlink="">
      <xdr:nvSpPr>
        <xdr:cNvPr id="18" name="TextBox 17">
          <a:extLst>
            <a:ext uri="{FF2B5EF4-FFF2-40B4-BE49-F238E27FC236}">
              <a16:creationId xmlns:a16="http://schemas.microsoft.com/office/drawing/2014/main" id="{82C9F769-5DB9-8E21-E1BE-85334B8C3B8F}"/>
            </a:ext>
          </a:extLst>
        </xdr:cNvPr>
        <xdr:cNvSpPr txBox="1"/>
      </xdr:nvSpPr>
      <xdr:spPr>
        <a:xfrm>
          <a:off x="11147287" y="3966818"/>
          <a:ext cx="3706192" cy="2590248"/>
        </a:xfrm>
        <a:prstGeom prst="rect">
          <a:avLst/>
        </a:prstGeom>
        <a:solidFill>
          <a:schemeClr val="accent6">
            <a:lumMod val="50000"/>
          </a:schemeClr>
        </a:solidFill>
        <a:ln>
          <a:solidFill>
            <a:schemeClr val="tx1"/>
          </a:solidFill>
        </a:ln>
        <a:effectLst>
          <a:innerShdw blurRad="114300">
            <a:schemeClr val="bg1">
              <a:lumMod val="95000"/>
            </a:schemeClr>
          </a:inn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300" b="1">
              <a:solidFill>
                <a:schemeClr val="bg1"/>
              </a:solidFill>
            </a:rPr>
            <a:t>Key Insights</a:t>
          </a:r>
        </a:p>
        <a:p>
          <a:endParaRPr lang="en-IN" sz="1300" b="1">
            <a:solidFill>
              <a:schemeClr val="accent6">
                <a:lumMod val="75000"/>
              </a:schemeClr>
            </a:solidFill>
          </a:endParaRPr>
        </a:p>
        <a:p>
          <a:r>
            <a:rPr lang="en-IN" sz="1300" b="1">
              <a:solidFill>
                <a:schemeClr val="bg1"/>
              </a:solidFill>
            </a:rPr>
            <a:t>• GDP has grown consistently since 1997.</a:t>
          </a:r>
        </a:p>
        <a:p>
          <a:endParaRPr lang="en-IN" sz="1300" b="1">
            <a:solidFill>
              <a:schemeClr val="bg1"/>
            </a:solidFill>
          </a:endParaRPr>
        </a:p>
        <a:p>
          <a:r>
            <a:rPr lang="en-IN" sz="1300" b="1">
              <a:solidFill>
                <a:schemeClr val="bg1"/>
              </a:solidFill>
            </a:rPr>
            <a:t>• Inflation peaked around 2009–2011.</a:t>
          </a:r>
        </a:p>
        <a:p>
          <a:endParaRPr lang="en-IN" sz="1300" b="1">
            <a:solidFill>
              <a:schemeClr val="bg1"/>
            </a:solidFill>
          </a:endParaRPr>
        </a:p>
        <a:p>
          <a:r>
            <a:rPr lang="en-IN" sz="1300" b="1">
              <a:solidFill>
                <a:schemeClr val="bg1"/>
              </a:solidFill>
            </a:rPr>
            <a:t>• Exchange Rate has depreciated steadily.</a:t>
          </a:r>
        </a:p>
        <a:p>
          <a:endParaRPr lang="en-IN" sz="1300" b="1">
            <a:solidFill>
              <a:schemeClr val="bg1"/>
            </a:solidFill>
          </a:endParaRPr>
        </a:p>
        <a:p>
          <a:r>
            <a:rPr lang="en-IN" sz="1300" b="1">
              <a:solidFill>
                <a:schemeClr val="bg1"/>
              </a:solidFill>
            </a:rPr>
            <a:t>• Exports accelerated after 2021.</a:t>
          </a:r>
        </a:p>
        <a:p>
          <a:endParaRPr lang="en-IN" sz="1300" b="1">
            <a:solidFill>
              <a:schemeClr val="bg1"/>
            </a:solidFill>
          </a:endParaRPr>
        </a:p>
        <a:p>
          <a:r>
            <a:rPr lang="en-IN" sz="1300" b="1">
              <a:solidFill>
                <a:schemeClr val="bg1"/>
              </a:solidFill>
            </a:rPr>
            <a:t>• Industrial Production recovered after 2020</a:t>
          </a:r>
          <a:r>
            <a:rPr lang="en-IN" sz="1300" b="1">
              <a:solidFill>
                <a:srgbClr val="002060"/>
              </a:solidFill>
            </a:rPr>
            <a:t>.</a:t>
          </a:r>
        </a:p>
      </xdr:txBody>
    </xdr:sp>
    <xdr:clientData/>
  </xdr:twoCellAnchor>
  <xdr:twoCellAnchor>
    <xdr:from>
      <xdr:col>0</xdr:col>
      <xdr:colOff>82827</xdr:colOff>
      <xdr:row>38</xdr:row>
      <xdr:rowOff>13806</xdr:rowOff>
    </xdr:from>
    <xdr:to>
      <xdr:col>3</xdr:col>
      <xdr:colOff>441740</xdr:colOff>
      <xdr:row>40</xdr:row>
      <xdr:rowOff>27610</xdr:rowOff>
    </xdr:to>
    <xdr:sp macro="" textlink="">
      <xdr:nvSpPr>
        <xdr:cNvPr id="19" name="TextBox 18">
          <a:extLst>
            <a:ext uri="{FF2B5EF4-FFF2-40B4-BE49-F238E27FC236}">
              <a16:creationId xmlns:a16="http://schemas.microsoft.com/office/drawing/2014/main" id="{E4B1D91C-559F-4947-B164-7570DE06884C}"/>
            </a:ext>
          </a:extLst>
        </xdr:cNvPr>
        <xdr:cNvSpPr txBox="1"/>
      </xdr:nvSpPr>
      <xdr:spPr>
        <a:xfrm flipH="1">
          <a:off x="82827" y="6612284"/>
          <a:ext cx="2498587" cy="3451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Times New Roman" panose="02020603050405020304" pitchFamily="18" charset="0"/>
              <a:cs typeface="Times New Roman" panose="02020603050405020304" pitchFamily="18" charset="0"/>
            </a:rPr>
            <a:t>Source:  | World Bank |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Kumar" refreshedDate="46223.646112152775" createdVersion="8" refreshedVersion="8" minRefreshableVersion="3" recordCount="31" xr:uid="{A5FA3916-47F5-44A5-98E4-D822467421C7}">
  <cacheSource type="worksheet">
    <worksheetSource name="TblIndianEconomy"/>
  </cacheSource>
  <cacheFields count="7">
    <cacheField name="Year" numFmtId="0">
      <sharedItems containsSemiMixedTypes="0" containsString="0" containsNumber="1" containsInteger="1" minValue="1996" maxValue="2026" count="31">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GDP" numFmtId="0">
      <sharedItems containsString="0" containsBlank="1" containsNumber="1" minValue="608093.5" maxValue="3630711" count="30">
        <m/>
        <n v="608093.5"/>
        <n v="644683.9"/>
        <n v="689324.5"/>
        <n v="728354.6"/>
        <n v="756637.5"/>
        <n v="791449.3"/>
        <n v="845814.2"/>
        <n v="911152.4"/>
        <n v="993306.1"/>
        <n v="1086039"/>
        <n v="1195209"/>
        <n v="1269547"/>
        <n v="1334473"/>
        <n v="1480055"/>
        <n v="1595095"/>
        <n v="1687476"/>
        <n v="1791203"/>
        <n v="1916714"/>
        <n v="2060492"/>
        <n v="2246004"/>
        <n v="2383280"/>
        <n v="2556453"/>
        <n v="2673906"/>
        <n v="2510261"/>
        <n v="2749380"/>
        <n v="2942618"/>
        <n v="3150165"/>
        <n v="3377677"/>
        <n v="3630711"/>
      </sharedItems>
    </cacheField>
    <cacheField name="Inflation" numFmtId="0">
      <sharedItems containsString="0" containsBlank="1" containsNumber="1" minValue="2.1871010000000002" maxValue="10.41286" count="26">
        <m/>
        <n v="5.2064159999999999"/>
        <n v="4.3395400000000004"/>
        <n v="3.85364"/>
        <n v="3.7394759999999998"/>
        <n v="6.0615319999999997"/>
        <n v="5.9928720000000002"/>
        <n v="8.5712869999999999"/>
        <n v="9.7231079999999999"/>
        <n v="10.359859999999999"/>
        <n v="8.3098270000000003"/>
        <n v="9.3789610000000003"/>
        <n v="10.41286"/>
        <n v="6.6375310000000001"/>
        <n v="4.8735439999999999"/>
        <n v="4.974869"/>
        <n v="3.3271700000000002"/>
        <n v="3.9204530000000002"/>
        <n v="3.7463220000000002"/>
        <n v="6.6141959999999997"/>
        <n v="5.1459970000000004"/>
        <n v="6.6778449999999996"/>
        <n v="5.654064"/>
        <n v="4.9782500000000001"/>
        <n v="2.1871010000000002"/>
        <n v="2.7436919999999998"/>
      </sharedItems>
    </cacheField>
    <cacheField name="Exchange rate" numFmtId="0">
      <sharedItems containsString="0" containsBlank="1" containsNumber="1" minValue="36.320459999999997" maxValue="92.731960000000001" count="31">
        <m/>
        <n v="36.320459999999997"/>
        <n v="41.237450000000003"/>
        <n v="43.057850000000002"/>
        <n v="44.940660000000001"/>
        <n v="47.179879999999997"/>
        <n v="48.593919999999997"/>
        <n v="46.574710000000003"/>
        <n v="45.300960000000003"/>
        <n v="44.097270000000002"/>
        <n v="45.28342"/>
        <n v="41.353769999999997"/>
        <n v="43.524410000000003"/>
        <n v="48.425690000000003"/>
        <n v="45.731589999999997"/>
        <n v="46.669089999999997"/>
        <n v="53.41422"/>
        <n v="58.553049999999999"/>
        <n v="61.029409999999999"/>
        <n v="64.137910000000005"/>
        <n v="67.185159999999996"/>
        <n v="65.110119999999995"/>
        <n v="68.407169999999994"/>
        <n v="70.432230000000004"/>
        <n v="74.120840000000001"/>
        <n v="73.90728"/>
        <n v="78.59254"/>
        <n v="82.587360000000004"/>
        <n v="83.669169999999994"/>
        <n v="87.165930000000003"/>
        <n v="92.731960000000001"/>
      </sharedItems>
    </cacheField>
    <cacheField name="Industrial_Production" numFmtId="0">
      <sharedItems containsString="0" containsBlank="1" containsNumber="1" containsInteger="1" minValue="220000000000" maxValue="845000000000" count="29">
        <m/>
        <n v="220000000000"/>
        <n v="233000000000"/>
        <n v="247000000000"/>
        <n v="254000000000"/>
        <n v="267000000000"/>
        <n v="284000000000"/>
        <n v="315000000000"/>
        <n v="344000000000"/>
        <n v="386000000000"/>
        <n v="446000000000"/>
        <n v="481000000000"/>
        <n v="482000000000"/>
        <n v="528000000000"/>
        <n v="554000000000"/>
        <n v="558000000000"/>
        <n v="568000000000"/>
        <n v="594000000000"/>
        <n v="609000000000"/>
        <n v="640000000000"/>
        <n v="663000000000"/>
        <n v="697000000000"/>
        <n v="702000000000"/>
        <n v="624000000000"/>
        <n v="705000000000"/>
        <n v="738000000000"/>
        <n v="780000000000"/>
        <n v="814000000000"/>
        <n v="845000000000"/>
      </sharedItems>
    </cacheField>
    <cacheField name="Forex_Reserves" numFmtId="0">
      <sharedItems containsString="0" containsBlank="1" containsNumber="1" minValue="0.60350000000000004" maxValue="1.574827" count="29">
        <m/>
        <n v="0.65973999999999999"/>
        <n v="0.69938900000000004"/>
        <n v="0.74392100000000005"/>
        <n v="0.77729300000000001"/>
        <n v="0.95577699999999999"/>
        <n v="1.2591049999999999"/>
        <n v="1.4225410000000001"/>
        <n v="1.314929"/>
        <n v="0.96187699999999998"/>
        <n v="0.99600100000000003"/>
        <n v="1.202799"/>
        <n v="0.79713800000000001"/>
        <n v="1.101097"/>
        <n v="0.84725799999999996"/>
        <n v="0.63867300000000005"/>
        <n v="0.60350000000000004"/>
        <n v="0.63200199999999995"/>
        <n v="0.69363399999999997"/>
        <n v="0.89094600000000002"/>
        <n v="0.99377099999999996"/>
        <n v="0.91008500000000003"/>
        <n v="0.768621"/>
        <n v="0.94569599999999998"/>
        <n v="1.574827"/>
        <n v="1.107483"/>
        <n v="0.78065700000000005"/>
        <n v="0.92505499999999996"/>
        <n v="0.88558599999999998"/>
      </sharedItems>
    </cacheField>
    <cacheField name="Exports" numFmtId="0">
      <sharedItems containsString="0" containsBlank="1" containsNumber="1" minValue="1170.5039999999999" maxValue="37067.78" count="30">
        <n v="1170.5039999999999"/>
        <n v="1269.848"/>
        <n v="1378.671"/>
        <n v="1536.0250000000001"/>
        <n v="1909.3910000000001"/>
        <n v="2045.921"/>
        <n v="2455.3649999999998"/>
        <n v="2748.953"/>
        <n v="3475.7469999999998"/>
        <n v="4391.1499999999996"/>
        <n v="5520.65"/>
        <n v="6197.2860000000001"/>
        <n v="8409.3590000000004"/>
        <n v="7985.0910000000003"/>
        <n v="10284.620000000001"/>
        <n v="14104.24"/>
        <n v="15832.51"/>
        <n v="18439.66"/>
        <n v="19670.8"/>
        <n v="17160.62"/>
        <n v="17758.97"/>
        <n v="19459.78"/>
        <n v="22228.36"/>
        <n v="22828.720000000001"/>
        <n v="20471.59"/>
        <n v="29332.47"/>
        <n v="35657.54"/>
        <n v="35714.6"/>
        <n v="37067.78"/>
        <m/>
      </sharedItems>
    </cacheField>
  </cacheFields>
  <extLst>
    <ext xmlns:x14="http://schemas.microsoft.com/office/spreadsheetml/2009/9/main" uri="{725AE2AE-9491-48be-B2B4-4EB974FC3084}">
      <x14:pivotCacheDefinition pivotCacheId="2089610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x v="0"/>
    <x v="0"/>
    <x v="0"/>
    <x v="0"/>
    <x v="0"/>
  </r>
  <r>
    <x v="1"/>
    <x v="1"/>
    <x v="0"/>
    <x v="1"/>
    <x v="0"/>
    <x v="1"/>
    <x v="1"/>
  </r>
  <r>
    <x v="2"/>
    <x v="2"/>
    <x v="0"/>
    <x v="2"/>
    <x v="1"/>
    <x v="2"/>
    <x v="2"/>
  </r>
  <r>
    <x v="3"/>
    <x v="3"/>
    <x v="0"/>
    <x v="3"/>
    <x v="2"/>
    <x v="3"/>
    <x v="3"/>
  </r>
  <r>
    <x v="4"/>
    <x v="4"/>
    <x v="0"/>
    <x v="4"/>
    <x v="3"/>
    <x v="4"/>
    <x v="4"/>
  </r>
  <r>
    <x v="5"/>
    <x v="5"/>
    <x v="0"/>
    <x v="5"/>
    <x v="4"/>
    <x v="5"/>
    <x v="5"/>
  </r>
  <r>
    <x v="6"/>
    <x v="6"/>
    <x v="1"/>
    <x v="6"/>
    <x v="5"/>
    <x v="6"/>
    <x v="6"/>
  </r>
  <r>
    <x v="7"/>
    <x v="7"/>
    <x v="2"/>
    <x v="7"/>
    <x v="6"/>
    <x v="7"/>
    <x v="7"/>
  </r>
  <r>
    <x v="8"/>
    <x v="8"/>
    <x v="3"/>
    <x v="8"/>
    <x v="7"/>
    <x v="8"/>
    <x v="8"/>
  </r>
  <r>
    <x v="9"/>
    <x v="9"/>
    <x v="4"/>
    <x v="9"/>
    <x v="8"/>
    <x v="9"/>
    <x v="9"/>
  </r>
  <r>
    <x v="10"/>
    <x v="10"/>
    <x v="5"/>
    <x v="10"/>
    <x v="9"/>
    <x v="10"/>
    <x v="10"/>
  </r>
  <r>
    <x v="11"/>
    <x v="11"/>
    <x v="6"/>
    <x v="11"/>
    <x v="10"/>
    <x v="11"/>
    <x v="11"/>
  </r>
  <r>
    <x v="12"/>
    <x v="12"/>
    <x v="7"/>
    <x v="12"/>
    <x v="11"/>
    <x v="12"/>
    <x v="12"/>
  </r>
  <r>
    <x v="13"/>
    <x v="13"/>
    <x v="8"/>
    <x v="13"/>
    <x v="12"/>
    <x v="13"/>
    <x v="13"/>
  </r>
  <r>
    <x v="14"/>
    <x v="14"/>
    <x v="9"/>
    <x v="14"/>
    <x v="13"/>
    <x v="14"/>
    <x v="14"/>
  </r>
  <r>
    <x v="15"/>
    <x v="15"/>
    <x v="10"/>
    <x v="15"/>
    <x v="14"/>
    <x v="15"/>
    <x v="15"/>
  </r>
  <r>
    <x v="16"/>
    <x v="16"/>
    <x v="11"/>
    <x v="16"/>
    <x v="15"/>
    <x v="16"/>
    <x v="16"/>
  </r>
  <r>
    <x v="17"/>
    <x v="17"/>
    <x v="12"/>
    <x v="17"/>
    <x v="16"/>
    <x v="17"/>
    <x v="17"/>
  </r>
  <r>
    <x v="18"/>
    <x v="18"/>
    <x v="13"/>
    <x v="18"/>
    <x v="17"/>
    <x v="18"/>
    <x v="18"/>
  </r>
  <r>
    <x v="19"/>
    <x v="19"/>
    <x v="14"/>
    <x v="19"/>
    <x v="18"/>
    <x v="19"/>
    <x v="19"/>
  </r>
  <r>
    <x v="20"/>
    <x v="20"/>
    <x v="15"/>
    <x v="20"/>
    <x v="19"/>
    <x v="20"/>
    <x v="20"/>
  </r>
  <r>
    <x v="21"/>
    <x v="21"/>
    <x v="16"/>
    <x v="21"/>
    <x v="20"/>
    <x v="21"/>
    <x v="21"/>
  </r>
  <r>
    <x v="22"/>
    <x v="22"/>
    <x v="17"/>
    <x v="22"/>
    <x v="21"/>
    <x v="22"/>
    <x v="22"/>
  </r>
  <r>
    <x v="23"/>
    <x v="23"/>
    <x v="18"/>
    <x v="23"/>
    <x v="22"/>
    <x v="23"/>
    <x v="23"/>
  </r>
  <r>
    <x v="24"/>
    <x v="24"/>
    <x v="19"/>
    <x v="24"/>
    <x v="23"/>
    <x v="24"/>
    <x v="24"/>
  </r>
  <r>
    <x v="25"/>
    <x v="25"/>
    <x v="20"/>
    <x v="25"/>
    <x v="24"/>
    <x v="25"/>
    <x v="25"/>
  </r>
  <r>
    <x v="26"/>
    <x v="26"/>
    <x v="21"/>
    <x v="26"/>
    <x v="25"/>
    <x v="26"/>
    <x v="26"/>
  </r>
  <r>
    <x v="27"/>
    <x v="27"/>
    <x v="22"/>
    <x v="27"/>
    <x v="26"/>
    <x v="27"/>
    <x v="27"/>
  </r>
  <r>
    <x v="28"/>
    <x v="28"/>
    <x v="23"/>
    <x v="28"/>
    <x v="27"/>
    <x v="28"/>
    <x v="28"/>
  </r>
  <r>
    <x v="29"/>
    <x v="29"/>
    <x v="24"/>
    <x v="29"/>
    <x v="28"/>
    <x v="0"/>
    <x v="29"/>
  </r>
  <r>
    <x v="30"/>
    <x v="0"/>
    <x v="25"/>
    <x v="30"/>
    <x v="0"/>
    <x v="0"/>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1DF665-FAFE-474F-9CD8-97BB4DD2A327}" name="PivotTable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3:R31" firstHeaderRow="1" firstDataRow="1" firstDataCol="1"/>
  <pivotFields count="7">
    <pivotField axis="axisRow" showAll="0">
      <items count="32">
        <item h="1" x="0"/>
        <item x="1"/>
        <item x="2"/>
        <item x="3"/>
        <item x="4"/>
        <item x="5"/>
        <item x="6"/>
        <item x="7"/>
        <item x="8"/>
        <item x="9"/>
        <item x="10"/>
        <item h="1" x="11"/>
        <item x="12"/>
        <item h="1" x="13"/>
        <item x="14"/>
        <item x="15"/>
        <item h="1" x="16"/>
        <item x="17"/>
        <item x="18"/>
        <item x="19"/>
        <item x="20"/>
        <item x="21"/>
        <item x="22"/>
        <item x="23"/>
        <item x="24"/>
        <item x="25"/>
        <item x="26"/>
        <item x="27"/>
        <item x="28"/>
        <item x="29"/>
        <item x="30"/>
        <item t="default"/>
      </items>
    </pivotField>
    <pivotField showAll="0"/>
    <pivotField showAll="0"/>
    <pivotField showAll="0"/>
    <pivotField showAll="0"/>
    <pivotField showAll="0"/>
    <pivotField dataField="1" showAll="0"/>
  </pivotFields>
  <rowFields count="1">
    <field x="0"/>
  </rowFields>
  <rowItems count="28">
    <i>
      <x v="1"/>
    </i>
    <i>
      <x v="2"/>
    </i>
    <i>
      <x v="3"/>
    </i>
    <i>
      <x v="4"/>
    </i>
    <i>
      <x v="5"/>
    </i>
    <i>
      <x v="6"/>
    </i>
    <i>
      <x v="7"/>
    </i>
    <i>
      <x v="8"/>
    </i>
    <i>
      <x v="9"/>
    </i>
    <i>
      <x v="10"/>
    </i>
    <i>
      <x v="12"/>
    </i>
    <i>
      <x v="14"/>
    </i>
    <i>
      <x v="15"/>
    </i>
    <i>
      <x v="17"/>
    </i>
    <i>
      <x v="18"/>
    </i>
    <i>
      <x v="19"/>
    </i>
    <i>
      <x v="20"/>
    </i>
    <i>
      <x v="21"/>
    </i>
    <i>
      <x v="22"/>
    </i>
    <i>
      <x v="23"/>
    </i>
    <i>
      <x v="24"/>
    </i>
    <i>
      <x v="25"/>
    </i>
    <i>
      <x v="26"/>
    </i>
    <i>
      <x v="27"/>
    </i>
    <i>
      <x v="28"/>
    </i>
    <i>
      <x v="29"/>
    </i>
    <i>
      <x v="30"/>
    </i>
    <i t="grand">
      <x/>
    </i>
  </rowItems>
  <colItems count="1">
    <i/>
  </colItems>
  <dataFields count="1">
    <dataField name="_Exports"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309A50-3682-4149-8BF7-6BAD49881744}" name="PivotTable5"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31" firstHeaderRow="1" firstDataRow="1" firstDataCol="1"/>
  <pivotFields count="7">
    <pivotField axis="axisRow" showAll="0">
      <items count="32">
        <item h="1" x="0"/>
        <item x="1"/>
        <item x="2"/>
        <item x="3"/>
        <item x="4"/>
        <item x="5"/>
        <item x="6"/>
        <item x="7"/>
        <item x="8"/>
        <item x="9"/>
        <item x="10"/>
        <item h="1" x="11"/>
        <item x="12"/>
        <item h="1" x="13"/>
        <item x="14"/>
        <item x="15"/>
        <item h="1" x="16"/>
        <item x="17"/>
        <item x="18"/>
        <item x="19"/>
        <item x="20"/>
        <item x="21"/>
        <item x="22"/>
        <item x="23"/>
        <item x="24"/>
        <item x="25"/>
        <item x="26"/>
        <item x="27"/>
        <item x="28"/>
        <item x="29"/>
        <item x="30"/>
        <item t="default"/>
      </items>
    </pivotField>
    <pivotField showAll="0"/>
    <pivotField showAll="0"/>
    <pivotField showAll="0"/>
    <pivotField dataField="1" showAll="0"/>
    <pivotField showAll="0"/>
    <pivotField showAll="0"/>
  </pivotFields>
  <rowFields count="1">
    <field x="0"/>
  </rowFields>
  <rowItems count="28">
    <i>
      <x v="1"/>
    </i>
    <i>
      <x v="2"/>
    </i>
    <i>
      <x v="3"/>
    </i>
    <i>
      <x v="4"/>
    </i>
    <i>
      <x v="5"/>
    </i>
    <i>
      <x v="6"/>
    </i>
    <i>
      <x v="7"/>
    </i>
    <i>
      <x v="8"/>
    </i>
    <i>
      <x v="9"/>
    </i>
    <i>
      <x v="10"/>
    </i>
    <i>
      <x v="12"/>
    </i>
    <i>
      <x v="14"/>
    </i>
    <i>
      <x v="15"/>
    </i>
    <i>
      <x v="17"/>
    </i>
    <i>
      <x v="18"/>
    </i>
    <i>
      <x v="19"/>
    </i>
    <i>
      <x v="20"/>
    </i>
    <i>
      <x v="21"/>
    </i>
    <i>
      <x v="22"/>
    </i>
    <i>
      <x v="23"/>
    </i>
    <i>
      <x v="24"/>
    </i>
    <i>
      <x v="25"/>
    </i>
    <i>
      <x v="26"/>
    </i>
    <i>
      <x v="27"/>
    </i>
    <i>
      <x v="28"/>
    </i>
    <i>
      <x v="29"/>
    </i>
    <i>
      <x v="30"/>
    </i>
    <i t="grand">
      <x/>
    </i>
  </rowItems>
  <colItems count="1">
    <i/>
  </colItems>
  <dataFields count="1">
    <dataField name=" Industrial Production "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73F54F-0848-43CB-BC1C-DB34C30501AB}" name="PivotTable4"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J31" firstHeaderRow="1" firstDataRow="1" firstDataCol="1"/>
  <pivotFields count="7">
    <pivotField axis="axisRow" showAll="0">
      <items count="32">
        <item h="1" x="0"/>
        <item x="1"/>
        <item x="2"/>
        <item x="3"/>
        <item x="4"/>
        <item x="5"/>
        <item x="6"/>
        <item x="7"/>
        <item x="8"/>
        <item x="9"/>
        <item x="10"/>
        <item h="1" x="11"/>
        <item x="12"/>
        <item h="1" x="13"/>
        <item x="14"/>
        <item x="15"/>
        <item h="1" x="16"/>
        <item x="17"/>
        <item x="18"/>
        <item x="19"/>
        <item x="20"/>
        <item x="21"/>
        <item x="22"/>
        <item x="23"/>
        <item x="24"/>
        <item x="25"/>
        <item x="26"/>
        <item x="27"/>
        <item x="28"/>
        <item x="29"/>
        <item x="30"/>
        <item t="default"/>
      </items>
    </pivotField>
    <pivotField showAll="0"/>
    <pivotField showAll="0"/>
    <pivotField dataField="1" showAll="0"/>
    <pivotField showAll="0"/>
    <pivotField showAll="0"/>
    <pivotField showAll="0"/>
  </pivotFields>
  <rowFields count="1">
    <field x="0"/>
  </rowFields>
  <rowItems count="28">
    <i>
      <x v="1"/>
    </i>
    <i>
      <x v="2"/>
    </i>
    <i>
      <x v="3"/>
    </i>
    <i>
      <x v="4"/>
    </i>
    <i>
      <x v="5"/>
    </i>
    <i>
      <x v="6"/>
    </i>
    <i>
      <x v="7"/>
    </i>
    <i>
      <x v="8"/>
    </i>
    <i>
      <x v="9"/>
    </i>
    <i>
      <x v="10"/>
    </i>
    <i>
      <x v="12"/>
    </i>
    <i>
      <x v="14"/>
    </i>
    <i>
      <x v="15"/>
    </i>
    <i>
      <x v="17"/>
    </i>
    <i>
      <x v="18"/>
    </i>
    <i>
      <x v="19"/>
    </i>
    <i>
      <x v="20"/>
    </i>
    <i>
      <x v="21"/>
    </i>
    <i>
      <x v="22"/>
    </i>
    <i>
      <x v="23"/>
    </i>
    <i>
      <x v="24"/>
    </i>
    <i>
      <x v="25"/>
    </i>
    <i>
      <x v="26"/>
    </i>
    <i>
      <x v="27"/>
    </i>
    <i>
      <x v="28"/>
    </i>
    <i>
      <x v="29"/>
    </i>
    <i>
      <x v="30"/>
    </i>
    <i t="grand">
      <x/>
    </i>
  </rowItems>
  <colItems count="1">
    <i/>
  </colItems>
  <dataFields count="1">
    <dataField name="Exchange_rate "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3A4604-9D2E-4BB6-ADDB-2C7921E265A5}" name="PivotTable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F31" firstHeaderRow="1" firstDataRow="1" firstDataCol="1"/>
  <pivotFields count="7">
    <pivotField axis="axisRow" showAll="0">
      <items count="32">
        <item h="1" x="0"/>
        <item x="1"/>
        <item x="2"/>
        <item x="3"/>
        <item x="4"/>
        <item x="5"/>
        <item x="6"/>
        <item x="7"/>
        <item x="8"/>
        <item x="9"/>
        <item x="10"/>
        <item h="1" x="11"/>
        <item x="12"/>
        <item h="1" x="13"/>
        <item x="14"/>
        <item x="15"/>
        <item h="1" x="16"/>
        <item x="17"/>
        <item x="18"/>
        <item x="19"/>
        <item x="20"/>
        <item x="21"/>
        <item x="22"/>
        <item x="23"/>
        <item x="24"/>
        <item x="25"/>
        <item x="26"/>
        <item x="27"/>
        <item x="28"/>
        <item x="29"/>
        <item x="30"/>
        <item t="default"/>
      </items>
    </pivotField>
    <pivotField showAll="0"/>
    <pivotField dataField="1" showAll="0"/>
    <pivotField showAll="0"/>
    <pivotField showAll="0"/>
    <pivotField showAll="0"/>
    <pivotField showAll="0"/>
  </pivotFields>
  <rowFields count="1">
    <field x="0"/>
  </rowFields>
  <rowItems count="28">
    <i>
      <x v="1"/>
    </i>
    <i>
      <x v="2"/>
    </i>
    <i>
      <x v="3"/>
    </i>
    <i>
      <x v="4"/>
    </i>
    <i>
      <x v="5"/>
    </i>
    <i>
      <x v="6"/>
    </i>
    <i>
      <x v="7"/>
    </i>
    <i>
      <x v="8"/>
    </i>
    <i>
      <x v="9"/>
    </i>
    <i>
      <x v="10"/>
    </i>
    <i>
      <x v="12"/>
    </i>
    <i>
      <x v="14"/>
    </i>
    <i>
      <x v="15"/>
    </i>
    <i>
      <x v="17"/>
    </i>
    <i>
      <x v="18"/>
    </i>
    <i>
      <x v="19"/>
    </i>
    <i>
      <x v="20"/>
    </i>
    <i>
      <x v="21"/>
    </i>
    <i>
      <x v="22"/>
    </i>
    <i>
      <x v="23"/>
    </i>
    <i>
      <x v="24"/>
    </i>
    <i>
      <x v="25"/>
    </i>
    <i>
      <x v="26"/>
    </i>
    <i>
      <x v="27"/>
    </i>
    <i>
      <x v="28"/>
    </i>
    <i>
      <x v="29"/>
    </i>
    <i>
      <x v="30"/>
    </i>
    <i t="grand">
      <x/>
    </i>
  </rowItems>
  <colItems count="1">
    <i/>
  </colItems>
  <dataFields count="1">
    <dataField name="Inflation_" fld="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AE7EC2-4C8A-4103-BBBD-C07091E6F5DA}" name="PivotTable2" cacheId="6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3">
  <location ref="A3:B31" firstHeaderRow="1" firstDataRow="1" firstDataCol="1"/>
  <pivotFields count="7">
    <pivotField axis="axisRow" showAll="0">
      <items count="32">
        <item h="1" x="0"/>
        <item x="1"/>
        <item x="2"/>
        <item x="3"/>
        <item x="4"/>
        <item x="5"/>
        <item x="6"/>
        <item x="7"/>
        <item x="8"/>
        <item x="9"/>
        <item x="10"/>
        <item h="1" x="11"/>
        <item x="12"/>
        <item h="1" x="13"/>
        <item x="14"/>
        <item x="15"/>
        <item h="1" x="16"/>
        <item x="17"/>
        <item x="18"/>
        <item x="19"/>
        <item x="20"/>
        <item x="21"/>
        <item x="22"/>
        <item x="23"/>
        <item x="24"/>
        <item x="25"/>
        <item x="26"/>
        <item x="27"/>
        <item x="28"/>
        <item x="29"/>
        <item x="30"/>
        <item t="default"/>
      </items>
    </pivotField>
    <pivotField dataField="1" showAll="0">
      <items count="31">
        <item x="1"/>
        <item x="2"/>
        <item x="3"/>
        <item x="4"/>
        <item x="5"/>
        <item x="6"/>
        <item x="7"/>
        <item x="8"/>
        <item x="9"/>
        <item x="10"/>
        <item x="11"/>
        <item x="12"/>
        <item x="13"/>
        <item x="14"/>
        <item x="15"/>
        <item x="16"/>
        <item x="17"/>
        <item x="18"/>
        <item x="19"/>
        <item x="20"/>
        <item x="21"/>
        <item x="24"/>
        <item x="22"/>
        <item x="23"/>
        <item x="25"/>
        <item x="26"/>
        <item x="27"/>
        <item x="28"/>
        <item x="29"/>
        <item x="0"/>
        <item t="default"/>
      </items>
    </pivotField>
    <pivotField showAll="0">
      <items count="27">
        <item x="24"/>
        <item x="25"/>
        <item x="16"/>
        <item x="4"/>
        <item x="18"/>
        <item x="3"/>
        <item x="17"/>
        <item x="2"/>
        <item x="14"/>
        <item x="15"/>
        <item x="23"/>
        <item x="20"/>
        <item x="1"/>
        <item x="22"/>
        <item x="6"/>
        <item x="5"/>
        <item x="19"/>
        <item x="13"/>
        <item x="21"/>
        <item x="10"/>
        <item x="7"/>
        <item x="11"/>
        <item x="8"/>
        <item x="9"/>
        <item x="12"/>
        <item x="0"/>
        <item t="default"/>
      </items>
    </pivotField>
    <pivotField showAll="0">
      <items count="32">
        <item x="1"/>
        <item x="2"/>
        <item x="11"/>
        <item x="3"/>
        <item x="12"/>
        <item x="9"/>
        <item x="4"/>
        <item x="10"/>
        <item x="8"/>
        <item x="14"/>
        <item x="7"/>
        <item x="15"/>
        <item x="5"/>
        <item x="13"/>
        <item x="6"/>
        <item x="16"/>
        <item x="17"/>
        <item x="18"/>
        <item x="19"/>
        <item x="21"/>
        <item x="20"/>
        <item x="22"/>
        <item x="23"/>
        <item x="25"/>
        <item x="24"/>
        <item x="26"/>
        <item x="27"/>
        <item x="28"/>
        <item x="29"/>
        <item x="30"/>
        <item x="0"/>
        <item t="default"/>
      </items>
    </pivotField>
    <pivotField showAll="0">
      <items count="30">
        <item x="1"/>
        <item x="2"/>
        <item x="3"/>
        <item x="4"/>
        <item x="5"/>
        <item x="6"/>
        <item x="7"/>
        <item x="8"/>
        <item x="9"/>
        <item x="10"/>
        <item x="11"/>
        <item x="12"/>
        <item x="13"/>
        <item x="14"/>
        <item x="15"/>
        <item x="16"/>
        <item x="17"/>
        <item x="18"/>
        <item x="23"/>
        <item x="19"/>
        <item x="20"/>
        <item x="21"/>
        <item x="22"/>
        <item x="24"/>
        <item x="25"/>
        <item x="26"/>
        <item x="27"/>
        <item x="28"/>
        <item x="0"/>
        <item t="default"/>
      </items>
    </pivotField>
    <pivotField showAll="0">
      <items count="30">
        <item h="1" x="16"/>
        <item x="17"/>
        <item h="1" x="15"/>
        <item h="1" x="1"/>
        <item h="1" x="18"/>
        <item h="1" x="2"/>
        <item h="1" x="3"/>
        <item h="1" x="22"/>
        <item h="1" x="4"/>
        <item h="1" x="26"/>
        <item h="1" x="12"/>
        <item h="1" x="14"/>
        <item h="1" x="28"/>
        <item h="1" x="19"/>
        <item h="1" x="21"/>
        <item h="1" x="27"/>
        <item h="1" x="23"/>
        <item h="1" x="5"/>
        <item h="1" x="9"/>
        <item h="1" x="20"/>
        <item h="1" x="10"/>
        <item h="1" x="13"/>
        <item h="1" x="25"/>
        <item h="1" x="11"/>
        <item h="1" x="6"/>
        <item h="1" x="8"/>
        <item h="1" x="7"/>
        <item h="1" x="24"/>
        <item h="1" x="0"/>
        <item t="default"/>
      </items>
    </pivotField>
    <pivotField showAll="0">
      <items count="31">
        <item x="0"/>
        <item x="1"/>
        <item x="2"/>
        <item x="3"/>
        <item x="4"/>
        <item x="5"/>
        <item x="6"/>
        <item x="7"/>
        <item x="8"/>
        <item x="9"/>
        <item x="10"/>
        <item x="11"/>
        <item x="13"/>
        <item x="12"/>
        <item x="14"/>
        <item x="15"/>
        <item x="16"/>
        <item x="19"/>
        <item x="20"/>
        <item x="17"/>
        <item x="21"/>
        <item x="18"/>
        <item x="24"/>
        <item x="22"/>
        <item x="23"/>
        <item x="25"/>
        <item x="26"/>
        <item x="27"/>
        <item x="28"/>
        <item x="29"/>
        <item t="default"/>
      </items>
    </pivotField>
  </pivotFields>
  <rowFields count="1">
    <field x="0"/>
  </rowFields>
  <rowItems count="28">
    <i>
      <x v="1"/>
    </i>
    <i>
      <x v="2"/>
    </i>
    <i>
      <x v="3"/>
    </i>
    <i>
      <x v="4"/>
    </i>
    <i>
      <x v="5"/>
    </i>
    <i>
      <x v="6"/>
    </i>
    <i>
      <x v="7"/>
    </i>
    <i>
      <x v="8"/>
    </i>
    <i>
      <x v="9"/>
    </i>
    <i>
      <x v="10"/>
    </i>
    <i>
      <x v="12"/>
    </i>
    <i>
      <x v="14"/>
    </i>
    <i>
      <x v="15"/>
    </i>
    <i>
      <x v="17"/>
    </i>
    <i>
      <x v="18"/>
    </i>
    <i>
      <x v="19"/>
    </i>
    <i>
      <x v="20"/>
    </i>
    <i>
      <x v="21"/>
    </i>
    <i>
      <x v="22"/>
    </i>
    <i>
      <x v="23"/>
    </i>
    <i>
      <x v="24"/>
    </i>
    <i>
      <x v="25"/>
    </i>
    <i>
      <x v="26"/>
    </i>
    <i>
      <x v="27"/>
    </i>
    <i>
      <x v="28"/>
    </i>
    <i>
      <x v="29"/>
    </i>
    <i>
      <x v="30"/>
    </i>
    <i t="grand">
      <x/>
    </i>
  </rowItems>
  <colItems count="1">
    <i/>
  </colItems>
  <dataFields count="1">
    <dataField name="G D P" fld="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7FBAC48-B741-496C-B2A2-06B1DAE6DD28}" sourceName="Year">
  <pivotTables>
    <pivotTable tabId="7" name="PivotTable2"/>
    <pivotTable tabId="7" name="PivotTable3"/>
    <pivotTable tabId="7" name="PivotTable4"/>
    <pivotTable tabId="7" name="PivotTable5"/>
    <pivotTable tabId="7" name="PivotTable6"/>
  </pivotTables>
  <data>
    <tabular pivotCacheId="2089610106">
      <items count="31">
        <i x="0"/>
        <i x="1" s="1"/>
        <i x="2" s="1"/>
        <i x="3" s="1"/>
        <i x="4" s="1"/>
        <i x="5" s="1"/>
        <i x="6" s="1"/>
        <i x="7" s="1"/>
        <i x="8" s="1"/>
        <i x="9" s="1"/>
        <i x="10" s="1"/>
        <i x="11"/>
        <i x="12" s="1"/>
        <i x="13"/>
        <i x="14" s="1"/>
        <i x="15" s="1"/>
        <i x="16"/>
        <i x="17" s="1"/>
        <i x="18" s="1"/>
        <i x="19" s="1"/>
        <i x="20" s="1"/>
        <i x="21" s="1"/>
        <i x="22" s="1"/>
        <i x="23" s="1"/>
        <i x="24" s="1"/>
        <i x="25" s="1"/>
        <i x="26" s="1"/>
        <i x="27" s="1"/>
        <i x="28" s="1"/>
        <i x="29" s="1"/>
        <i x="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FCE4EAA-C7B4-4D65-8E86-5EABE3614B0D}" cache="Slicer_Year" caption="Year" columnCount="5" style="SlicerStyleDark6"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C7B4-DA5E-41C5-ABA3-09F7D950D1C9}" name="TblIndianEconomy" displayName="TblIndianEconomy" ref="A1:G32" totalsRowShown="0">
  <autoFilter ref="A1:G32" xr:uid="{27B9C7B4-DA5E-41C5-ABA3-09F7D950D1C9}"/>
  <tableColumns count="7">
    <tableColumn id="1" xr3:uid="{DB2124A9-DF3D-4D4B-AF25-D583F9B35320}" name="Year"/>
    <tableColumn id="2" xr3:uid="{286DBAB1-3432-43EC-8C8E-84C945C119CF}" name="GDP"/>
    <tableColumn id="3" xr3:uid="{D138DAE8-D7E4-4A7F-BB17-09332AD1CC85}" name="Inflation"/>
    <tableColumn id="4" xr3:uid="{94EB1C25-16D8-4744-8F2E-71681E78A1E3}" name="Exchange rate"/>
    <tableColumn id="5" xr3:uid="{C7FAB8F8-7004-4E10-83AC-37D592FF158C}" name="Industrial_Production" dataDxfId="0"/>
    <tableColumn id="6" xr3:uid="{429689DE-25A7-42FB-A792-D622B453CF62}" name="Forex_Reserves"/>
    <tableColumn id="7" xr3:uid="{A7C6B4F5-6BCB-431B-9A90-F4906057A209}" name="Exports"/>
  </tableColumns>
  <tableStyleInfo name="TableStyleMedium2" showFirstColumn="0" showLastColumn="0" showRowStripes="1" showColumnStripes="0"/>
</table>
</file>

<file path=xl/theme/theme1.xml><?xml version="1.0" encoding="utf-8"?>
<a:theme xmlns:a="http://schemas.openxmlformats.org/drawingml/2006/main" name="Vapor Trail">
  <a:themeElements>
    <a:clrScheme name="Vapor Trail">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86F9-3E89-4B19-BB71-E1DE40824B0B}">
  <dimension ref="A1:G32"/>
  <sheetViews>
    <sheetView tabSelected="1" workbookViewId="0">
      <selection activeCell="H15" sqref="H15"/>
    </sheetView>
  </sheetViews>
  <sheetFormatPr defaultRowHeight="13.5" x14ac:dyDescent="0.25"/>
  <cols>
    <col min="4" max="4" width="14" customWidth="1"/>
    <col min="5" max="5" width="19.1640625" style="16" customWidth="1"/>
    <col min="6" max="6" width="14.25" customWidth="1"/>
  </cols>
  <sheetData>
    <row r="1" spans="1:7" s="5" customFormat="1" ht="14" x14ac:dyDescent="0.3">
      <c r="A1" s="5" t="s">
        <v>0</v>
      </c>
      <c r="B1" s="5" t="s">
        <v>1</v>
      </c>
      <c r="C1" s="5" t="s">
        <v>2</v>
      </c>
      <c r="D1" s="5" t="s">
        <v>3</v>
      </c>
      <c r="E1" s="18" t="s">
        <v>16</v>
      </c>
      <c r="F1" s="5" t="s">
        <v>17</v>
      </c>
      <c r="G1" s="5" t="s">
        <v>6</v>
      </c>
    </row>
    <row r="2" spans="1:7" x14ac:dyDescent="0.25">
      <c r="A2" s="15">
        <v>1996</v>
      </c>
      <c r="G2">
        <v>1170.5039999999999</v>
      </c>
    </row>
    <row r="3" spans="1:7" x14ac:dyDescent="0.25">
      <c r="A3" s="15">
        <v>1997</v>
      </c>
      <c r="B3">
        <v>608093.5</v>
      </c>
      <c r="D3">
        <v>36.320459999999997</v>
      </c>
      <c r="F3">
        <v>0.65973999999999999</v>
      </c>
      <c r="G3">
        <v>1269.848</v>
      </c>
    </row>
    <row r="4" spans="1:7" x14ac:dyDescent="0.25">
      <c r="A4" s="15">
        <v>1998</v>
      </c>
      <c r="B4">
        <v>644683.9</v>
      </c>
      <c r="D4">
        <v>41.237450000000003</v>
      </c>
      <c r="E4" s="16">
        <v>220000000000</v>
      </c>
      <c r="F4">
        <v>0.69938900000000004</v>
      </c>
      <c r="G4">
        <v>1378.671</v>
      </c>
    </row>
    <row r="5" spans="1:7" x14ac:dyDescent="0.25">
      <c r="A5" s="15">
        <v>1999</v>
      </c>
      <c r="B5">
        <v>689324.5</v>
      </c>
      <c r="D5">
        <v>43.057850000000002</v>
      </c>
      <c r="E5" s="16">
        <v>233000000000</v>
      </c>
      <c r="F5">
        <v>0.74392100000000005</v>
      </c>
      <c r="G5">
        <v>1536.0250000000001</v>
      </c>
    </row>
    <row r="6" spans="1:7" x14ac:dyDescent="0.25">
      <c r="A6" s="15">
        <v>2000</v>
      </c>
      <c r="B6">
        <v>728354.6</v>
      </c>
      <c r="D6">
        <v>44.940660000000001</v>
      </c>
      <c r="E6" s="16">
        <v>247000000000</v>
      </c>
      <c r="F6">
        <v>0.77729300000000001</v>
      </c>
      <c r="G6">
        <v>1909.3910000000001</v>
      </c>
    </row>
    <row r="7" spans="1:7" x14ac:dyDescent="0.25">
      <c r="A7" s="15">
        <v>2001</v>
      </c>
      <c r="B7">
        <v>756637.5</v>
      </c>
      <c r="D7">
        <v>47.179879999999997</v>
      </c>
      <c r="E7" s="16">
        <v>254000000000</v>
      </c>
      <c r="F7">
        <v>0.95577699999999999</v>
      </c>
      <c r="G7">
        <v>2045.921</v>
      </c>
    </row>
    <row r="8" spans="1:7" x14ac:dyDescent="0.25">
      <c r="A8" s="15">
        <v>2002</v>
      </c>
      <c r="B8">
        <v>791449.3</v>
      </c>
      <c r="C8">
        <v>5.2064159999999999</v>
      </c>
      <c r="D8">
        <v>48.593919999999997</v>
      </c>
      <c r="E8" s="16">
        <v>267000000000</v>
      </c>
      <c r="F8">
        <v>1.2591049999999999</v>
      </c>
      <c r="G8">
        <v>2455.3649999999998</v>
      </c>
    </row>
    <row r="9" spans="1:7" x14ac:dyDescent="0.25">
      <c r="A9" s="15">
        <v>2003</v>
      </c>
      <c r="B9">
        <v>845814.2</v>
      </c>
      <c r="C9">
        <v>4.3395400000000004</v>
      </c>
      <c r="D9">
        <v>46.574710000000003</v>
      </c>
      <c r="E9" s="16">
        <v>284000000000</v>
      </c>
      <c r="F9">
        <v>1.4225410000000001</v>
      </c>
      <c r="G9">
        <v>2748.953</v>
      </c>
    </row>
    <row r="10" spans="1:7" x14ac:dyDescent="0.25">
      <c r="A10" s="15">
        <v>2004</v>
      </c>
      <c r="B10">
        <v>911152.4</v>
      </c>
      <c r="C10">
        <v>3.85364</v>
      </c>
      <c r="D10">
        <v>45.300960000000003</v>
      </c>
      <c r="E10" s="16">
        <v>315000000000</v>
      </c>
      <c r="F10">
        <v>1.314929</v>
      </c>
      <c r="G10">
        <v>3475.7469999999998</v>
      </c>
    </row>
    <row r="11" spans="1:7" x14ac:dyDescent="0.25">
      <c r="A11" s="15">
        <v>2005</v>
      </c>
      <c r="B11">
        <v>993306.1</v>
      </c>
      <c r="C11">
        <v>3.7394759999999998</v>
      </c>
      <c r="D11">
        <v>44.097270000000002</v>
      </c>
      <c r="E11" s="16">
        <v>344000000000</v>
      </c>
      <c r="F11">
        <v>0.96187699999999998</v>
      </c>
      <c r="G11">
        <v>4391.1499999999996</v>
      </c>
    </row>
    <row r="12" spans="1:7" x14ac:dyDescent="0.25">
      <c r="A12" s="15">
        <v>2006</v>
      </c>
      <c r="B12">
        <v>1086039</v>
      </c>
      <c r="C12">
        <v>6.0615319999999997</v>
      </c>
      <c r="D12">
        <v>45.28342</v>
      </c>
      <c r="E12" s="16">
        <v>386000000000</v>
      </c>
      <c r="F12">
        <v>0.99600100000000003</v>
      </c>
      <c r="G12">
        <v>5520.65</v>
      </c>
    </row>
    <row r="13" spans="1:7" x14ac:dyDescent="0.25">
      <c r="A13" s="15">
        <v>2007</v>
      </c>
      <c r="B13">
        <v>1195209</v>
      </c>
      <c r="C13">
        <v>5.9928720000000002</v>
      </c>
      <c r="D13">
        <v>41.353769999999997</v>
      </c>
      <c r="E13" s="16">
        <v>446000000000</v>
      </c>
      <c r="F13">
        <v>1.202799</v>
      </c>
      <c r="G13">
        <v>6197.2860000000001</v>
      </c>
    </row>
    <row r="14" spans="1:7" x14ac:dyDescent="0.25">
      <c r="A14" s="15">
        <v>2008</v>
      </c>
      <c r="B14">
        <v>1269547</v>
      </c>
      <c r="C14">
        <v>8.5712869999999999</v>
      </c>
      <c r="D14">
        <v>43.524410000000003</v>
      </c>
      <c r="E14" s="16">
        <v>481000000000</v>
      </c>
      <c r="F14">
        <v>0.79713800000000001</v>
      </c>
      <c r="G14">
        <v>8409.3590000000004</v>
      </c>
    </row>
    <row r="15" spans="1:7" x14ac:dyDescent="0.25">
      <c r="A15" s="15">
        <v>2009</v>
      </c>
      <c r="B15">
        <v>1334473</v>
      </c>
      <c r="C15">
        <v>9.7231079999999999</v>
      </c>
      <c r="D15">
        <v>48.425690000000003</v>
      </c>
      <c r="E15" s="16">
        <v>482000000000</v>
      </c>
      <c r="F15">
        <v>1.101097</v>
      </c>
      <c r="G15">
        <v>7985.0910000000003</v>
      </c>
    </row>
    <row r="16" spans="1:7" x14ac:dyDescent="0.25">
      <c r="A16" s="15">
        <v>2010</v>
      </c>
      <c r="B16">
        <v>1480055</v>
      </c>
      <c r="C16">
        <v>10.359859999999999</v>
      </c>
      <c r="D16">
        <v>45.731589999999997</v>
      </c>
      <c r="E16" s="16">
        <v>528000000000</v>
      </c>
      <c r="F16">
        <v>0.84725799999999996</v>
      </c>
      <c r="G16">
        <v>10284.620000000001</v>
      </c>
    </row>
    <row r="17" spans="1:7" x14ac:dyDescent="0.25">
      <c r="A17" s="15">
        <v>2011</v>
      </c>
      <c r="B17">
        <v>1595095</v>
      </c>
      <c r="C17">
        <v>8.3098270000000003</v>
      </c>
      <c r="D17">
        <v>46.669089999999997</v>
      </c>
      <c r="E17" s="16">
        <v>554000000000</v>
      </c>
      <c r="F17">
        <v>0.63867300000000005</v>
      </c>
      <c r="G17">
        <v>14104.24</v>
      </c>
    </row>
    <row r="18" spans="1:7" x14ac:dyDescent="0.25">
      <c r="A18" s="15">
        <v>2012</v>
      </c>
      <c r="B18">
        <v>1687476</v>
      </c>
      <c r="C18">
        <v>9.3789610000000003</v>
      </c>
      <c r="D18">
        <v>53.41422</v>
      </c>
      <c r="E18" s="16">
        <v>558000000000</v>
      </c>
      <c r="F18">
        <v>0.60350000000000004</v>
      </c>
      <c r="G18">
        <v>15832.51</v>
      </c>
    </row>
    <row r="19" spans="1:7" x14ac:dyDescent="0.25">
      <c r="A19" s="15">
        <v>2013</v>
      </c>
      <c r="B19">
        <v>1791203</v>
      </c>
      <c r="C19">
        <v>10.41286</v>
      </c>
      <c r="D19">
        <v>58.553049999999999</v>
      </c>
      <c r="E19" s="16">
        <v>568000000000</v>
      </c>
      <c r="F19">
        <v>0.63200199999999995</v>
      </c>
      <c r="G19">
        <v>18439.66</v>
      </c>
    </row>
    <row r="20" spans="1:7" x14ac:dyDescent="0.25">
      <c r="A20" s="15">
        <v>2014</v>
      </c>
      <c r="B20">
        <v>1916714</v>
      </c>
      <c r="C20">
        <v>6.6375310000000001</v>
      </c>
      <c r="D20">
        <v>61.029409999999999</v>
      </c>
      <c r="E20" s="16">
        <v>594000000000</v>
      </c>
      <c r="F20">
        <v>0.69363399999999997</v>
      </c>
      <c r="G20">
        <v>19670.8</v>
      </c>
    </row>
    <row r="21" spans="1:7" x14ac:dyDescent="0.25">
      <c r="A21" s="15">
        <v>2015</v>
      </c>
      <c r="B21">
        <v>2060492</v>
      </c>
      <c r="C21">
        <v>4.8735439999999999</v>
      </c>
      <c r="D21">
        <v>64.137910000000005</v>
      </c>
      <c r="E21" s="16">
        <v>609000000000</v>
      </c>
      <c r="F21">
        <v>0.89094600000000002</v>
      </c>
      <c r="G21">
        <v>17160.62</v>
      </c>
    </row>
    <row r="22" spans="1:7" x14ac:dyDescent="0.25">
      <c r="A22" s="15">
        <v>2016</v>
      </c>
      <c r="B22">
        <v>2246004</v>
      </c>
      <c r="C22">
        <v>4.974869</v>
      </c>
      <c r="D22">
        <v>67.185159999999996</v>
      </c>
      <c r="E22" s="16">
        <v>640000000000</v>
      </c>
      <c r="F22">
        <v>0.99377099999999996</v>
      </c>
      <c r="G22">
        <v>17758.97</v>
      </c>
    </row>
    <row r="23" spans="1:7" x14ac:dyDescent="0.25">
      <c r="A23" s="15">
        <v>2017</v>
      </c>
      <c r="B23">
        <v>2383280</v>
      </c>
      <c r="C23">
        <v>3.3271700000000002</v>
      </c>
      <c r="D23">
        <v>65.110119999999995</v>
      </c>
      <c r="E23" s="16">
        <v>663000000000</v>
      </c>
      <c r="F23">
        <v>0.91008500000000003</v>
      </c>
      <c r="G23">
        <v>19459.78</v>
      </c>
    </row>
    <row r="24" spans="1:7" x14ac:dyDescent="0.25">
      <c r="A24" s="15">
        <v>2018</v>
      </c>
      <c r="B24">
        <v>2556453</v>
      </c>
      <c r="C24">
        <v>3.9204530000000002</v>
      </c>
      <c r="D24">
        <v>68.407169999999994</v>
      </c>
      <c r="E24" s="16">
        <v>697000000000</v>
      </c>
      <c r="F24">
        <v>0.768621</v>
      </c>
      <c r="G24">
        <v>22228.36</v>
      </c>
    </row>
    <row r="25" spans="1:7" x14ac:dyDescent="0.25">
      <c r="A25" s="15">
        <v>2019</v>
      </c>
      <c r="B25">
        <v>2673906</v>
      </c>
      <c r="C25">
        <v>3.7463220000000002</v>
      </c>
      <c r="D25">
        <v>70.432230000000004</v>
      </c>
      <c r="E25" s="16">
        <v>702000000000</v>
      </c>
      <c r="F25">
        <v>0.94569599999999998</v>
      </c>
      <c r="G25">
        <v>22828.720000000001</v>
      </c>
    </row>
    <row r="26" spans="1:7" x14ac:dyDescent="0.25">
      <c r="A26" s="15">
        <v>2020</v>
      </c>
      <c r="B26">
        <v>2510261</v>
      </c>
      <c r="C26">
        <v>6.6141959999999997</v>
      </c>
      <c r="D26">
        <v>74.120840000000001</v>
      </c>
      <c r="E26" s="16">
        <v>624000000000</v>
      </c>
      <c r="F26">
        <v>1.574827</v>
      </c>
      <c r="G26">
        <v>20471.59</v>
      </c>
    </row>
    <row r="27" spans="1:7" x14ac:dyDescent="0.25">
      <c r="A27" s="15">
        <v>2021</v>
      </c>
      <c r="B27">
        <v>2749380</v>
      </c>
      <c r="C27">
        <v>5.1459970000000004</v>
      </c>
      <c r="D27">
        <v>73.90728</v>
      </c>
      <c r="E27" s="16">
        <v>705000000000</v>
      </c>
      <c r="F27">
        <v>1.107483</v>
      </c>
      <c r="G27">
        <v>29332.47</v>
      </c>
    </row>
    <row r="28" spans="1:7" x14ac:dyDescent="0.25">
      <c r="A28" s="15">
        <v>2022</v>
      </c>
      <c r="B28">
        <v>2942618</v>
      </c>
      <c r="C28">
        <v>6.6778449999999996</v>
      </c>
      <c r="D28">
        <v>78.59254</v>
      </c>
      <c r="E28" s="16">
        <v>738000000000</v>
      </c>
      <c r="F28">
        <v>0.78065700000000005</v>
      </c>
      <c r="G28">
        <v>35657.54</v>
      </c>
    </row>
    <row r="29" spans="1:7" x14ac:dyDescent="0.25">
      <c r="A29" s="15">
        <v>2023</v>
      </c>
      <c r="B29">
        <v>3150165</v>
      </c>
      <c r="C29">
        <v>5.654064</v>
      </c>
      <c r="D29">
        <v>82.587360000000004</v>
      </c>
      <c r="E29" s="16">
        <v>780000000000</v>
      </c>
      <c r="F29">
        <v>0.92505499999999996</v>
      </c>
      <c r="G29">
        <v>35714.6</v>
      </c>
    </row>
    <row r="30" spans="1:7" x14ac:dyDescent="0.25">
      <c r="A30" s="15">
        <v>2024</v>
      </c>
      <c r="B30">
        <v>3377677</v>
      </c>
      <c r="C30">
        <v>4.9782500000000001</v>
      </c>
      <c r="D30">
        <v>83.669169999999994</v>
      </c>
      <c r="E30" s="16">
        <v>814000000000</v>
      </c>
      <c r="F30">
        <v>0.88558599999999998</v>
      </c>
      <c r="G30">
        <v>37067.78</v>
      </c>
    </row>
    <row r="31" spans="1:7" x14ac:dyDescent="0.25">
      <c r="A31" s="15">
        <v>2025</v>
      </c>
      <c r="B31">
        <v>3630711</v>
      </c>
      <c r="C31">
        <v>2.1871010000000002</v>
      </c>
      <c r="D31">
        <v>87.165930000000003</v>
      </c>
      <c r="E31" s="16">
        <v>845000000000</v>
      </c>
    </row>
    <row r="32" spans="1:7" x14ac:dyDescent="0.25">
      <c r="A32" s="15">
        <v>2026</v>
      </c>
      <c r="C32">
        <v>2.7436919999999998</v>
      </c>
      <c r="D32">
        <v>92.731960000000001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00DD-8914-4458-BCCA-733932467948}">
  <dimension ref="A1:G32"/>
  <sheetViews>
    <sheetView workbookViewId="0">
      <selection activeCell="F9" sqref="F9"/>
    </sheetView>
  </sheetViews>
  <sheetFormatPr defaultRowHeight="14.5" x14ac:dyDescent="0.25"/>
  <cols>
    <col min="3" max="3" width="9.83203125" customWidth="1"/>
    <col min="4" max="4" width="14.5" customWidth="1"/>
    <col min="5" max="5" width="21" style="17" customWidth="1"/>
    <col min="6" max="6" width="15.75" customWidth="1"/>
    <col min="7" max="7" width="9.1640625" customWidth="1"/>
  </cols>
  <sheetData>
    <row r="1" spans="1:7" ht="13.5" x14ac:dyDescent="0.25">
      <c r="A1" t="s">
        <v>0</v>
      </c>
      <c r="B1" t="s">
        <v>1</v>
      </c>
      <c r="C1" t="s">
        <v>2</v>
      </c>
      <c r="D1" t="s">
        <v>3</v>
      </c>
      <c r="E1" s="17" t="s">
        <v>4</v>
      </c>
      <c r="F1" t="s">
        <v>5</v>
      </c>
      <c r="G1" t="s">
        <v>6</v>
      </c>
    </row>
    <row r="2" spans="1:7" ht="13.5" x14ac:dyDescent="0.25">
      <c r="A2">
        <v>1996</v>
      </c>
      <c r="G2">
        <v>1170.5039999999999</v>
      </c>
    </row>
    <row r="3" spans="1:7" ht="13.5" x14ac:dyDescent="0.25">
      <c r="A3">
        <v>1997</v>
      </c>
      <c r="B3">
        <v>608093.5</v>
      </c>
      <c r="D3">
        <v>36.320459999999997</v>
      </c>
      <c r="F3">
        <v>0.65973999999999999</v>
      </c>
      <c r="G3">
        <v>1269.848</v>
      </c>
    </row>
    <row r="4" spans="1:7" ht="13.5" x14ac:dyDescent="0.25">
      <c r="A4">
        <v>1998</v>
      </c>
      <c r="B4">
        <v>644683.9</v>
      </c>
      <c r="D4">
        <v>41.237450000000003</v>
      </c>
      <c r="E4" s="17">
        <v>220000000000</v>
      </c>
      <c r="F4">
        <v>0.69938900000000004</v>
      </c>
      <c r="G4">
        <v>1378.671</v>
      </c>
    </row>
    <row r="5" spans="1:7" ht="13.5" x14ac:dyDescent="0.25">
      <c r="A5">
        <v>1999</v>
      </c>
      <c r="B5">
        <v>689324.5</v>
      </c>
      <c r="D5">
        <v>43.057850000000002</v>
      </c>
      <c r="E5" s="17">
        <v>233000000000</v>
      </c>
      <c r="F5">
        <v>0.74392100000000005</v>
      </c>
      <c r="G5">
        <v>1536.0250000000001</v>
      </c>
    </row>
    <row r="6" spans="1:7" ht="13.5" x14ac:dyDescent="0.25">
      <c r="A6">
        <v>2000</v>
      </c>
      <c r="B6">
        <v>728354.6</v>
      </c>
      <c r="D6">
        <v>44.940660000000001</v>
      </c>
      <c r="E6" s="17">
        <v>247000000000</v>
      </c>
      <c r="F6">
        <v>0.77729300000000001</v>
      </c>
      <c r="G6">
        <v>1909.3910000000001</v>
      </c>
    </row>
    <row r="7" spans="1:7" ht="13.5" x14ac:dyDescent="0.25">
      <c r="A7">
        <v>2001</v>
      </c>
      <c r="B7">
        <v>756637.5</v>
      </c>
      <c r="D7">
        <v>47.179879999999997</v>
      </c>
      <c r="E7" s="17">
        <v>254000000000</v>
      </c>
      <c r="F7">
        <v>0.95577699999999999</v>
      </c>
      <c r="G7">
        <v>2045.921</v>
      </c>
    </row>
    <row r="8" spans="1:7" ht="13.5" x14ac:dyDescent="0.25">
      <c r="A8">
        <v>2002</v>
      </c>
      <c r="B8">
        <v>791449.3</v>
      </c>
      <c r="C8">
        <v>5.2064159999999999</v>
      </c>
      <c r="D8">
        <v>48.593919999999997</v>
      </c>
      <c r="E8" s="17">
        <v>267000000000</v>
      </c>
      <c r="F8">
        <v>1.2591049999999999</v>
      </c>
      <c r="G8">
        <v>2455.3649999999998</v>
      </c>
    </row>
    <row r="9" spans="1:7" ht="13.5" x14ac:dyDescent="0.25">
      <c r="A9">
        <v>2003</v>
      </c>
      <c r="B9">
        <v>845814.2</v>
      </c>
      <c r="C9">
        <v>4.3395400000000004</v>
      </c>
      <c r="D9">
        <v>46.574710000000003</v>
      </c>
      <c r="E9" s="17">
        <v>284000000000</v>
      </c>
      <c r="F9">
        <v>1.4225410000000001</v>
      </c>
      <c r="G9">
        <v>2748.953</v>
      </c>
    </row>
    <row r="10" spans="1:7" ht="13.5" x14ac:dyDescent="0.25">
      <c r="A10">
        <v>2004</v>
      </c>
      <c r="B10">
        <v>911152.4</v>
      </c>
      <c r="C10">
        <v>3.85364</v>
      </c>
      <c r="D10">
        <v>45.300960000000003</v>
      </c>
      <c r="E10" s="17">
        <v>315000000000</v>
      </c>
      <c r="F10">
        <v>1.314929</v>
      </c>
      <c r="G10">
        <v>3475.7469999999998</v>
      </c>
    </row>
    <row r="11" spans="1:7" ht="13.5" x14ac:dyDescent="0.25">
      <c r="A11">
        <v>2005</v>
      </c>
      <c r="B11">
        <v>993306.1</v>
      </c>
      <c r="C11">
        <v>3.7394759999999998</v>
      </c>
      <c r="D11">
        <v>44.097270000000002</v>
      </c>
      <c r="E11" s="17">
        <v>344000000000</v>
      </c>
      <c r="F11">
        <v>0.96187699999999998</v>
      </c>
      <c r="G11">
        <v>4391.1499999999996</v>
      </c>
    </row>
    <row r="12" spans="1:7" ht="13.5" x14ac:dyDescent="0.25">
      <c r="A12">
        <v>2006</v>
      </c>
      <c r="B12">
        <v>1086039</v>
      </c>
      <c r="C12">
        <v>6.0615319999999997</v>
      </c>
      <c r="D12">
        <v>45.28342</v>
      </c>
      <c r="E12" s="17">
        <v>386000000000</v>
      </c>
      <c r="F12">
        <v>0.99600100000000003</v>
      </c>
      <c r="G12" s="1">
        <v>5520.65</v>
      </c>
    </row>
    <row r="13" spans="1:7" ht="13.5" x14ac:dyDescent="0.25">
      <c r="A13">
        <v>2007</v>
      </c>
      <c r="B13">
        <v>1195209</v>
      </c>
      <c r="C13">
        <v>5.9928720000000002</v>
      </c>
      <c r="D13">
        <v>41.353769999999997</v>
      </c>
      <c r="E13" s="17">
        <v>446000000000</v>
      </c>
      <c r="F13">
        <v>1.202799</v>
      </c>
      <c r="G13">
        <v>6197.2860000000001</v>
      </c>
    </row>
    <row r="14" spans="1:7" ht="13.5" x14ac:dyDescent="0.25">
      <c r="A14">
        <v>2008</v>
      </c>
      <c r="B14">
        <v>1269547</v>
      </c>
      <c r="C14">
        <v>8.5712869999999999</v>
      </c>
      <c r="D14">
        <v>43.524410000000003</v>
      </c>
      <c r="E14" s="17">
        <v>481000000000</v>
      </c>
      <c r="F14">
        <v>0.79713800000000001</v>
      </c>
      <c r="G14">
        <v>8409.3590000000004</v>
      </c>
    </row>
    <row r="15" spans="1:7" ht="13.5" x14ac:dyDescent="0.25">
      <c r="A15">
        <v>2009</v>
      </c>
      <c r="B15">
        <v>1334473</v>
      </c>
      <c r="C15">
        <v>9.7231079999999999</v>
      </c>
      <c r="D15">
        <v>48.425690000000003</v>
      </c>
      <c r="E15" s="17">
        <v>482000000000</v>
      </c>
      <c r="F15">
        <v>1.101097</v>
      </c>
      <c r="G15">
        <v>7985.0910000000003</v>
      </c>
    </row>
    <row r="16" spans="1:7" ht="13.5" x14ac:dyDescent="0.25">
      <c r="A16">
        <v>2010</v>
      </c>
      <c r="B16">
        <v>1480055</v>
      </c>
      <c r="C16">
        <v>10.359859999999999</v>
      </c>
      <c r="D16">
        <v>45.731589999999997</v>
      </c>
      <c r="E16" s="17">
        <v>528000000000</v>
      </c>
      <c r="F16">
        <v>0.84725799999999996</v>
      </c>
      <c r="G16">
        <v>10284.620000000001</v>
      </c>
    </row>
    <row r="17" spans="1:7" ht="13.5" x14ac:dyDescent="0.25">
      <c r="A17">
        <v>2011</v>
      </c>
      <c r="B17">
        <v>1595095</v>
      </c>
      <c r="C17">
        <v>8.3098270000000003</v>
      </c>
      <c r="D17">
        <v>46.669089999999997</v>
      </c>
      <c r="E17" s="17">
        <v>554000000000</v>
      </c>
      <c r="F17">
        <v>0.63867300000000005</v>
      </c>
      <c r="G17">
        <v>14104.24</v>
      </c>
    </row>
    <row r="18" spans="1:7" ht="13.5" x14ac:dyDescent="0.25">
      <c r="A18">
        <v>2012</v>
      </c>
      <c r="B18">
        <v>1687476</v>
      </c>
      <c r="C18">
        <v>9.3789610000000003</v>
      </c>
      <c r="D18">
        <v>53.41422</v>
      </c>
      <c r="E18" s="17">
        <v>558000000000</v>
      </c>
      <c r="F18">
        <v>0.60350000000000004</v>
      </c>
      <c r="G18">
        <v>15832.51</v>
      </c>
    </row>
    <row r="19" spans="1:7" ht="13.5" x14ac:dyDescent="0.25">
      <c r="A19">
        <v>2013</v>
      </c>
      <c r="B19">
        <v>1791203</v>
      </c>
      <c r="C19">
        <v>10.41286</v>
      </c>
      <c r="D19">
        <v>58.553049999999999</v>
      </c>
      <c r="E19" s="17">
        <v>568000000000</v>
      </c>
      <c r="F19">
        <v>0.63200199999999995</v>
      </c>
      <c r="G19">
        <v>18439.66</v>
      </c>
    </row>
    <row r="20" spans="1:7" ht="13.5" x14ac:dyDescent="0.25">
      <c r="A20">
        <v>2014</v>
      </c>
      <c r="B20">
        <v>1916714</v>
      </c>
      <c r="C20">
        <v>6.6375310000000001</v>
      </c>
      <c r="D20">
        <v>61.029409999999999</v>
      </c>
      <c r="E20" s="17">
        <v>594000000000</v>
      </c>
      <c r="F20">
        <v>0.69363399999999997</v>
      </c>
      <c r="G20">
        <v>19670.8</v>
      </c>
    </row>
    <row r="21" spans="1:7" ht="13.5" x14ac:dyDescent="0.25">
      <c r="A21">
        <v>2015</v>
      </c>
      <c r="B21">
        <v>2060492</v>
      </c>
      <c r="C21">
        <v>4.8735439999999999</v>
      </c>
      <c r="D21">
        <v>64.137910000000005</v>
      </c>
      <c r="E21" s="17">
        <v>609000000000</v>
      </c>
      <c r="F21">
        <v>0.89094600000000002</v>
      </c>
      <c r="G21">
        <v>17160.62</v>
      </c>
    </row>
    <row r="22" spans="1:7" ht="13.5" x14ac:dyDescent="0.25">
      <c r="A22">
        <v>2016</v>
      </c>
      <c r="B22">
        <v>2246004</v>
      </c>
      <c r="C22">
        <v>4.974869</v>
      </c>
      <c r="D22">
        <v>67.185159999999996</v>
      </c>
      <c r="E22" s="17">
        <v>640000000000</v>
      </c>
      <c r="F22">
        <v>0.99377099999999996</v>
      </c>
      <c r="G22">
        <v>17758.97</v>
      </c>
    </row>
    <row r="23" spans="1:7" ht="13.5" x14ac:dyDescent="0.25">
      <c r="A23">
        <v>2017</v>
      </c>
      <c r="B23">
        <v>2383280</v>
      </c>
      <c r="C23">
        <v>3.3271700000000002</v>
      </c>
      <c r="D23">
        <v>65.110119999999995</v>
      </c>
      <c r="E23" s="17">
        <v>663000000000</v>
      </c>
      <c r="F23">
        <v>0.91008500000000003</v>
      </c>
      <c r="G23">
        <v>19459.78</v>
      </c>
    </row>
    <row r="24" spans="1:7" ht="13.5" x14ac:dyDescent="0.25">
      <c r="A24">
        <v>2018</v>
      </c>
      <c r="B24">
        <v>2556453</v>
      </c>
      <c r="C24">
        <v>3.9204530000000002</v>
      </c>
      <c r="D24">
        <v>68.407169999999994</v>
      </c>
      <c r="E24" s="17">
        <v>697000000000</v>
      </c>
      <c r="F24">
        <v>0.768621</v>
      </c>
      <c r="G24">
        <v>22228.36</v>
      </c>
    </row>
    <row r="25" spans="1:7" ht="13.5" x14ac:dyDescent="0.25">
      <c r="A25">
        <v>2019</v>
      </c>
      <c r="B25">
        <v>2673906</v>
      </c>
      <c r="C25">
        <v>3.7463220000000002</v>
      </c>
      <c r="D25">
        <v>70.432230000000004</v>
      </c>
      <c r="E25" s="17">
        <v>702000000000</v>
      </c>
      <c r="F25">
        <v>0.94569599999999998</v>
      </c>
      <c r="G25">
        <v>22828.720000000001</v>
      </c>
    </row>
    <row r="26" spans="1:7" ht="13.5" x14ac:dyDescent="0.25">
      <c r="A26">
        <v>2020</v>
      </c>
      <c r="B26">
        <v>2510261</v>
      </c>
      <c r="C26">
        <v>6.6141959999999997</v>
      </c>
      <c r="D26">
        <v>74.120840000000001</v>
      </c>
      <c r="E26" s="17">
        <v>624000000000</v>
      </c>
      <c r="F26">
        <v>1.574827</v>
      </c>
      <c r="G26">
        <v>20471.59</v>
      </c>
    </row>
    <row r="27" spans="1:7" ht="13.5" x14ac:dyDescent="0.25">
      <c r="A27">
        <v>2021</v>
      </c>
      <c r="B27">
        <v>2749380</v>
      </c>
      <c r="C27">
        <v>5.1459970000000004</v>
      </c>
      <c r="D27">
        <v>73.90728</v>
      </c>
      <c r="E27" s="17">
        <v>705000000000</v>
      </c>
      <c r="F27">
        <v>1.107483</v>
      </c>
      <c r="G27">
        <v>29332.47</v>
      </c>
    </row>
    <row r="28" spans="1:7" ht="13.5" x14ac:dyDescent="0.25">
      <c r="A28">
        <v>2022</v>
      </c>
      <c r="B28">
        <v>2942618</v>
      </c>
      <c r="C28">
        <v>6.6778449999999996</v>
      </c>
      <c r="D28">
        <v>78.59254</v>
      </c>
      <c r="E28" s="17">
        <v>738000000000</v>
      </c>
      <c r="F28">
        <v>0.78065700000000005</v>
      </c>
      <c r="G28">
        <v>35657.54</v>
      </c>
    </row>
    <row r="29" spans="1:7" ht="13.5" x14ac:dyDescent="0.25">
      <c r="A29">
        <v>2023</v>
      </c>
      <c r="B29">
        <v>3150165</v>
      </c>
      <c r="C29">
        <v>5.654064</v>
      </c>
      <c r="D29">
        <v>82.587360000000004</v>
      </c>
      <c r="E29" s="17">
        <v>780000000000</v>
      </c>
      <c r="F29">
        <v>0.92505499999999996</v>
      </c>
      <c r="G29">
        <v>35714.6</v>
      </c>
    </row>
    <row r="30" spans="1:7" ht="13.5" x14ac:dyDescent="0.25">
      <c r="A30">
        <v>2024</v>
      </c>
      <c r="B30">
        <v>3377677</v>
      </c>
      <c r="C30">
        <v>4.9782500000000001</v>
      </c>
      <c r="D30">
        <v>83.669169999999994</v>
      </c>
      <c r="E30" s="17">
        <v>814000000000</v>
      </c>
      <c r="F30">
        <v>0.88558599999999998</v>
      </c>
      <c r="G30">
        <v>37067.78</v>
      </c>
    </row>
    <row r="31" spans="1:7" ht="13.5" x14ac:dyDescent="0.25">
      <c r="A31">
        <v>2025</v>
      </c>
      <c r="B31">
        <v>3630711</v>
      </c>
      <c r="C31">
        <v>2.1871010000000002</v>
      </c>
      <c r="D31">
        <v>87.165930000000003</v>
      </c>
      <c r="E31" s="17">
        <v>845000000000</v>
      </c>
    </row>
    <row r="32" spans="1:7" ht="13.5" x14ac:dyDescent="0.25">
      <c r="A32">
        <v>2026</v>
      </c>
      <c r="C32">
        <v>2.7436919999999998</v>
      </c>
      <c r="D32">
        <v>92.731960000000001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8E1CA-8BD7-4925-B3B3-D7E443AB8AD2}">
  <dimension ref="A3:R35"/>
  <sheetViews>
    <sheetView workbookViewId="0">
      <selection activeCell="B29" sqref="B29"/>
    </sheetView>
  </sheetViews>
  <sheetFormatPr defaultRowHeight="14.5" x14ac:dyDescent="0.25"/>
  <cols>
    <col min="1" max="1" width="11.1640625" customWidth="1"/>
    <col min="2" max="4" width="8.75" customWidth="1"/>
    <col min="5" max="5" width="12.83203125" customWidth="1"/>
    <col min="6" max="6" width="10.75" customWidth="1"/>
    <col min="7" max="8" width="8.75" customWidth="1"/>
    <col min="9" max="9" width="12.83203125" customWidth="1"/>
    <col min="10" max="10" width="14.75" customWidth="1"/>
    <col min="11" max="12" width="7.75" customWidth="1"/>
    <col min="13" max="13" width="12.83203125" customWidth="1"/>
    <col min="14" max="14" width="19.9140625" customWidth="1"/>
    <col min="15" max="16" width="7.75" customWidth="1"/>
    <col min="17" max="17" width="12.83203125" customWidth="1"/>
    <col min="18" max="18" width="9.75" customWidth="1"/>
    <col min="19" max="20" width="7.75" customWidth="1"/>
    <col min="21" max="21" width="12.33203125" customWidth="1"/>
    <col min="22" max="22" width="20.25" customWidth="1"/>
    <col min="23" max="23" width="7.75" customWidth="1"/>
    <col min="24" max="30" width="7.1640625" bestFit="1" customWidth="1"/>
    <col min="31" max="31" width="6.1640625" bestFit="1" customWidth="1"/>
    <col min="32" max="32" width="9.83203125" bestFit="1" customWidth="1"/>
  </cols>
  <sheetData>
    <row r="3" spans="1:18" ht="13.5" x14ac:dyDescent="0.25">
      <c r="B3" t="s">
        <v>9</v>
      </c>
      <c r="E3" s="3" t="s">
        <v>7</v>
      </c>
      <c r="F3" t="s">
        <v>13</v>
      </c>
      <c r="I3" s="3" t="s">
        <v>7</v>
      </c>
      <c r="J3" t="s">
        <v>12</v>
      </c>
      <c r="M3" s="3" t="s">
        <v>7</v>
      </c>
      <c r="N3" t="s">
        <v>10</v>
      </c>
      <c r="Q3" s="3" t="s">
        <v>7</v>
      </c>
      <c r="R3" t="s">
        <v>11</v>
      </c>
    </row>
    <row r="4" spans="1:18" ht="13.5" x14ac:dyDescent="0.25">
      <c r="A4" s="4">
        <v>1997</v>
      </c>
      <c r="B4" s="2">
        <v>608093.5</v>
      </c>
      <c r="E4" s="4">
        <v>1997</v>
      </c>
      <c r="F4" s="2"/>
      <c r="I4" s="4">
        <v>1997</v>
      </c>
      <c r="J4" s="2">
        <v>36.320459999999997</v>
      </c>
      <c r="M4" s="4">
        <v>1997</v>
      </c>
      <c r="N4" s="2"/>
      <c r="Q4" s="4">
        <v>1997</v>
      </c>
      <c r="R4" s="2">
        <v>1269.848</v>
      </c>
    </row>
    <row r="5" spans="1:18" ht="13.5" x14ac:dyDescent="0.25">
      <c r="A5" s="4">
        <v>1998</v>
      </c>
      <c r="B5" s="2">
        <v>644683.9</v>
      </c>
      <c r="E5" s="4">
        <v>1998</v>
      </c>
      <c r="F5" s="2"/>
      <c r="I5" s="4">
        <v>1998</v>
      </c>
      <c r="J5" s="2">
        <v>41.237450000000003</v>
      </c>
      <c r="M5" s="4">
        <v>1998</v>
      </c>
      <c r="N5" s="2">
        <v>220000000000</v>
      </c>
      <c r="Q5" s="4">
        <v>1998</v>
      </c>
      <c r="R5" s="2">
        <v>1378.671</v>
      </c>
    </row>
    <row r="6" spans="1:18" ht="13.5" x14ac:dyDescent="0.25">
      <c r="A6" s="4">
        <v>1999</v>
      </c>
      <c r="B6" s="2">
        <v>689324.5</v>
      </c>
      <c r="E6" s="4">
        <v>1999</v>
      </c>
      <c r="F6" s="2"/>
      <c r="I6" s="4">
        <v>1999</v>
      </c>
      <c r="J6" s="2">
        <v>43.057850000000002</v>
      </c>
      <c r="M6" s="4">
        <v>1999</v>
      </c>
      <c r="N6" s="2">
        <v>233000000000</v>
      </c>
      <c r="Q6" s="4">
        <v>1999</v>
      </c>
      <c r="R6" s="2">
        <v>1536.0250000000001</v>
      </c>
    </row>
    <row r="7" spans="1:18" ht="13.5" x14ac:dyDescent="0.25">
      <c r="A7" s="4">
        <v>2000</v>
      </c>
      <c r="B7" s="2">
        <v>728354.6</v>
      </c>
      <c r="E7" s="4">
        <v>2000</v>
      </c>
      <c r="F7" s="2"/>
      <c r="I7" s="4">
        <v>2000</v>
      </c>
      <c r="J7" s="2">
        <v>44.940660000000001</v>
      </c>
      <c r="M7" s="4">
        <v>2000</v>
      </c>
      <c r="N7" s="2">
        <v>247000000000</v>
      </c>
      <c r="Q7" s="4">
        <v>2000</v>
      </c>
      <c r="R7" s="2">
        <v>1909.3910000000001</v>
      </c>
    </row>
    <row r="8" spans="1:18" ht="13.5" x14ac:dyDescent="0.25">
      <c r="A8" s="4">
        <v>2001</v>
      </c>
      <c r="B8" s="2">
        <v>756637.5</v>
      </c>
      <c r="E8" s="4">
        <v>2001</v>
      </c>
      <c r="F8" s="2"/>
      <c r="I8" s="4">
        <v>2001</v>
      </c>
      <c r="J8" s="2">
        <v>47.179879999999997</v>
      </c>
      <c r="M8" s="4">
        <v>2001</v>
      </c>
      <c r="N8" s="2">
        <v>254000000000</v>
      </c>
      <c r="Q8" s="4">
        <v>2001</v>
      </c>
      <c r="R8" s="2">
        <v>2045.921</v>
      </c>
    </row>
    <row r="9" spans="1:18" ht="13.5" x14ac:dyDescent="0.25">
      <c r="A9" s="4">
        <v>2002</v>
      </c>
      <c r="B9" s="2">
        <v>791449.3</v>
      </c>
      <c r="E9" s="4">
        <v>2002</v>
      </c>
      <c r="F9" s="2">
        <v>5.2064159999999999</v>
      </c>
      <c r="I9" s="4">
        <v>2002</v>
      </c>
      <c r="J9" s="2">
        <v>48.593919999999997</v>
      </c>
      <c r="M9" s="4">
        <v>2002</v>
      </c>
      <c r="N9" s="2">
        <v>267000000000</v>
      </c>
      <c r="Q9" s="4">
        <v>2002</v>
      </c>
      <c r="R9" s="2">
        <v>2455.3649999999998</v>
      </c>
    </row>
    <row r="10" spans="1:18" ht="13.5" x14ac:dyDescent="0.25">
      <c r="A10" s="4">
        <v>2003</v>
      </c>
      <c r="B10" s="2">
        <v>845814.2</v>
      </c>
      <c r="E10" s="4">
        <v>2003</v>
      </c>
      <c r="F10" s="2">
        <v>4.3395400000000004</v>
      </c>
      <c r="I10" s="4">
        <v>2003</v>
      </c>
      <c r="J10" s="2">
        <v>46.574710000000003</v>
      </c>
      <c r="M10" s="4">
        <v>2003</v>
      </c>
      <c r="N10" s="2">
        <v>284000000000</v>
      </c>
      <c r="Q10" s="4">
        <v>2003</v>
      </c>
      <c r="R10" s="2">
        <v>2748.953</v>
      </c>
    </row>
    <row r="11" spans="1:18" ht="13.5" x14ac:dyDescent="0.25">
      <c r="A11" s="4">
        <v>2004</v>
      </c>
      <c r="B11" s="2">
        <v>911152.4</v>
      </c>
      <c r="E11" s="4">
        <v>2004</v>
      </c>
      <c r="F11" s="2">
        <v>3.85364</v>
      </c>
      <c r="I11" s="4">
        <v>2004</v>
      </c>
      <c r="J11" s="2">
        <v>45.300960000000003</v>
      </c>
      <c r="M11" s="4">
        <v>2004</v>
      </c>
      <c r="N11" s="2">
        <v>315000000000</v>
      </c>
      <c r="Q11" s="4">
        <v>2004</v>
      </c>
      <c r="R11" s="2">
        <v>3475.7469999999998</v>
      </c>
    </row>
    <row r="12" spans="1:18" ht="13.5" x14ac:dyDescent="0.25">
      <c r="A12" s="4">
        <v>2005</v>
      </c>
      <c r="B12" s="2">
        <v>993306.1</v>
      </c>
      <c r="E12" s="4">
        <v>2005</v>
      </c>
      <c r="F12" s="2">
        <v>3.7394759999999998</v>
      </c>
      <c r="I12" s="4">
        <v>2005</v>
      </c>
      <c r="J12" s="2">
        <v>44.097270000000002</v>
      </c>
      <c r="M12" s="4">
        <v>2005</v>
      </c>
      <c r="N12" s="2">
        <v>344000000000</v>
      </c>
      <c r="Q12" s="4">
        <v>2005</v>
      </c>
      <c r="R12" s="2">
        <v>4391.1499999999996</v>
      </c>
    </row>
    <row r="13" spans="1:18" ht="13.5" x14ac:dyDescent="0.25">
      <c r="A13" s="4">
        <v>2006</v>
      </c>
      <c r="B13" s="2">
        <v>1086039</v>
      </c>
      <c r="E13" s="4">
        <v>2006</v>
      </c>
      <c r="F13" s="2">
        <v>6.0615319999999997</v>
      </c>
      <c r="I13" s="4">
        <v>2006</v>
      </c>
      <c r="J13" s="2">
        <v>45.28342</v>
      </c>
      <c r="M13" s="4">
        <v>2006</v>
      </c>
      <c r="N13" s="2">
        <v>386000000000</v>
      </c>
      <c r="Q13" s="4">
        <v>2006</v>
      </c>
      <c r="R13" s="2">
        <v>5520.65</v>
      </c>
    </row>
    <row r="14" spans="1:18" ht="13.5" x14ac:dyDescent="0.25">
      <c r="A14" s="4">
        <v>2008</v>
      </c>
      <c r="B14" s="2">
        <v>1269547</v>
      </c>
      <c r="E14" s="4">
        <v>2008</v>
      </c>
      <c r="F14" s="2">
        <v>8.5712869999999999</v>
      </c>
      <c r="I14" s="4">
        <v>2008</v>
      </c>
      <c r="J14" s="2">
        <v>43.524410000000003</v>
      </c>
      <c r="M14" s="4">
        <v>2008</v>
      </c>
      <c r="N14" s="2">
        <v>481000000000</v>
      </c>
      <c r="Q14" s="4">
        <v>2008</v>
      </c>
      <c r="R14" s="2">
        <v>8409.3590000000004</v>
      </c>
    </row>
    <row r="15" spans="1:18" ht="13.5" x14ac:dyDescent="0.25">
      <c r="A15" s="4">
        <v>2010</v>
      </c>
      <c r="B15" s="2">
        <v>1480055</v>
      </c>
      <c r="E15" s="4">
        <v>2010</v>
      </c>
      <c r="F15" s="2">
        <v>10.359859999999999</v>
      </c>
      <c r="I15" s="4">
        <v>2010</v>
      </c>
      <c r="J15" s="2">
        <v>45.731589999999997</v>
      </c>
      <c r="M15" s="4">
        <v>2010</v>
      </c>
      <c r="N15" s="2">
        <v>528000000000</v>
      </c>
      <c r="Q15" s="4">
        <v>2010</v>
      </c>
      <c r="R15" s="2">
        <v>10284.620000000001</v>
      </c>
    </row>
    <row r="16" spans="1:18" ht="13.5" x14ac:dyDescent="0.25">
      <c r="A16" s="4">
        <v>2011</v>
      </c>
      <c r="B16" s="2">
        <v>1595095</v>
      </c>
      <c r="E16" s="4">
        <v>2011</v>
      </c>
      <c r="F16" s="2">
        <v>8.3098270000000003</v>
      </c>
      <c r="I16" s="4">
        <v>2011</v>
      </c>
      <c r="J16" s="2">
        <v>46.669089999999997</v>
      </c>
      <c r="M16" s="4">
        <v>2011</v>
      </c>
      <c r="N16" s="2">
        <v>554000000000</v>
      </c>
      <c r="Q16" s="4">
        <v>2011</v>
      </c>
      <c r="R16" s="2">
        <v>14104.24</v>
      </c>
    </row>
    <row r="17" spans="1:18" ht="13.5" x14ac:dyDescent="0.25">
      <c r="A17" s="4">
        <v>2013</v>
      </c>
      <c r="B17" s="2">
        <v>1791203</v>
      </c>
      <c r="E17" s="4">
        <v>2013</v>
      </c>
      <c r="F17" s="2">
        <v>10.41286</v>
      </c>
      <c r="I17" s="4">
        <v>2013</v>
      </c>
      <c r="J17" s="2">
        <v>58.553049999999999</v>
      </c>
      <c r="M17" s="4">
        <v>2013</v>
      </c>
      <c r="N17" s="2">
        <v>568000000000</v>
      </c>
      <c r="Q17" s="4">
        <v>2013</v>
      </c>
      <c r="R17" s="2">
        <v>18439.66</v>
      </c>
    </row>
    <row r="18" spans="1:18" ht="13.5" x14ac:dyDescent="0.25">
      <c r="A18" s="4">
        <v>2014</v>
      </c>
      <c r="B18" s="2">
        <v>1916714</v>
      </c>
      <c r="E18" s="4">
        <v>2014</v>
      </c>
      <c r="F18" s="2">
        <v>6.6375310000000001</v>
      </c>
      <c r="I18" s="4">
        <v>2014</v>
      </c>
      <c r="J18" s="2">
        <v>61.029409999999999</v>
      </c>
      <c r="M18" s="4">
        <v>2014</v>
      </c>
      <c r="N18" s="2">
        <v>594000000000</v>
      </c>
      <c r="Q18" s="4">
        <v>2014</v>
      </c>
      <c r="R18" s="2">
        <v>19670.8</v>
      </c>
    </row>
    <row r="19" spans="1:18" ht="13.5" x14ac:dyDescent="0.25">
      <c r="A19" s="4">
        <v>2015</v>
      </c>
      <c r="B19" s="2">
        <v>2060492</v>
      </c>
      <c r="E19" s="4">
        <v>2015</v>
      </c>
      <c r="F19" s="2">
        <v>4.8735439999999999</v>
      </c>
      <c r="I19" s="4">
        <v>2015</v>
      </c>
      <c r="J19" s="2">
        <v>64.137910000000005</v>
      </c>
      <c r="M19" s="4">
        <v>2015</v>
      </c>
      <c r="N19" s="2">
        <v>609000000000</v>
      </c>
      <c r="Q19" s="4">
        <v>2015</v>
      </c>
      <c r="R19" s="2">
        <v>17160.62</v>
      </c>
    </row>
    <row r="20" spans="1:18" ht="13.5" x14ac:dyDescent="0.25">
      <c r="A20" s="4">
        <v>2016</v>
      </c>
      <c r="B20" s="2">
        <v>2246004</v>
      </c>
      <c r="E20" s="4">
        <v>2016</v>
      </c>
      <c r="F20" s="2">
        <v>4.974869</v>
      </c>
      <c r="I20" s="4">
        <v>2016</v>
      </c>
      <c r="J20" s="2">
        <v>67.185159999999996</v>
      </c>
      <c r="M20" s="4">
        <v>2016</v>
      </c>
      <c r="N20" s="2">
        <v>640000000000</v>
      </c>
      <c r="Q20" s="4">
        <v>2016</v>
      </c>
      <c r="R20" s="2">
        <v>17758.97</v>
      </c>
    </row>
    <row r="21" spans="1:18" ht="13.5" x14ac:dyDescent="0.25">
      <c r="A21" s="4">
        <v>2017</v>
      </c>
      <c r="B21" s="2">
        <v>2383280</v>
      </c>
      <c r="E21" s="4">
        <v>2017</v>
      </c>
      <c r="F21" s="2">
        <v>3.3271700000000002</v>
      </c>
      <c r="I21" s="4">
        <v>2017</v>
      </c>
      <c r="J21" s="2">
        <v>65.110119999999995</v>
      </c>
      <c r="M21" s="4">
        <v>2017</v>
      </c>
      <c r="N21" s="2">
        <v>663000000000</v>
      </c>
      <c r="Q21" s="4">
        <v>2017</v>
      </c>
      <c r="R21" s="2">
        <v>19459.78</v>
      </c>
    </row>
    <row r="22" spans="1:18" ht="13.5" x14ac:dyDescent="0.25">
      <c r="A22" s="4">
        <v>2018</v>
      </c>
      <c r="B22" s="2">
        <v>2556453</v>
      </c>
      <c r="E22" s="4">
        <v>2018</v>
      </c>
      <c r="F22" s="2">
        <v>3.9204530000000002</v>
      </c>
      <c r="I22" s="4">
        <v>2018</v>
      </c>
      <c r="J22" s="2">
        <v>68.407169999999994</v>
      </c>
      <c r="M22" s="4">
        <v>2018</v>
      </c>
      <c r="N22" s="2">
        <v>697000000000</v>
      </c>
      <c r="Q22" s="4">
        <v>2018</v>
      </c>
      <c r="R22" s="2">
        <v>22228.36</v>
      </c>
    </row>
    <row r="23" spans="1:18" ht="13.5" x14ac:dyDescent="0.25">
      <c r="A23" s="4">
        <v>2019</v>
      </c>
      <c r="B23" s="2">
        <v>2673906</v>
      </c>
      <c r="E23" s="4">
        <v>2019</v>
      </c>
      <c r="F23" s="2">
        <v>3.7463220000000002</v>
      </c>
      <c r="I23" s="4">
        <v>2019</v>
      </c>
      <c r="J23" s="2">
        <v>70.432230000000004</v>
      </c>
      <c r="M23" s="4">
        <v>2019</v>
      </c>
      <c r="N23" s="2">
        <v>702000000000</v>
      </c>
      <c r="Q23" s="4">
        <v>2019</v>
      </c>
      <c r="R23" s="2">
        <v>22828.720000000001</v>
      </c>
    </row>
    <row r="24" spans="1:18" ht="13.5" x14ac:dyDescent="0.25">
      <c r="A24" s="4">
        <v>2020</v>
      </c>
      <c r="B24" s="2">
        <v>2510261</v>
      </c>
      <c r="E24" s="4">
        <v>2020</v>
      </c>
      <c r="F24" s="2">
        <v>6.6141959999999997</v>
      </c>
      <c r="I24" s="4">
        <v>2020</v>
      </c>
      <c r="J24" s="2">
        <v>74.120840000000001</v>
      </c>
      <c r="M24" s="4">
        <v>2020</v>
      </c>
      <c r="N24" s="2">
        <v>624000000000</v>
      </c>
      <c r="Q24" s="4">
        <v>2020</v>
      </c>
      <c r="R24" s="2">
        <v>20471.59</v>
      </c>
    </row>
    <row r="25" spans="1:18" ht="13.5" x14ac:dyDescent="0.25">
      <c r="A25" s="4">
        <v>2021</v>
      </c>
      <c r="B25" s="2">
        <v>2749380</v>
      </c>
      <c r="E25" s="4">
        <v>2021</v>
      </c>
      <c r="F25" s="2">
        <v>5.1459970000000004</v>
      </c>
      <c r="I25" s="4">
        <v>2021</v>
      </c>
      <c r="J25" s="2">
        <v>73.90728</v>
      </c>
      <c r="M25" s="4">
        <v>2021</v>
      </c>
      <c r="N25" s="2">
        <v>705000000000</v>
      </c>
      <c r="Q25" s="4">
        <v>2021</v>
      </c>
      <c r="R25" s="2">
        <v>29332.47</v>
      </c>
    </row>
    <row r="26" spans="1:18" ht="13.5" x14ac:dyDescent="0.25">
      <c r="A26" s="4">
        <v>2022</v>
      </c>
      <c r="B26" s="2">
        <v>2942618</v>
      </c>
      <c r="E26" s="4">
        <v>2022</v>
      </c>
      <c r="F26" s="2">
        <v>6.6778449999999996</v>
      </c>
      <c r="I26" s="4">
        <v>2022</v>
      </c>
      <c r="J26" s="2">
        <v>78.59254</v>
      </c>
      <c r="M26" s="4">
        <v>2022</v>
      </c>
      <c r="N26" s="2">
        <v>738000000000</v>
      </c>
      <c r="Q26" s="4">
        <v>2022</v>
      </c>
      <c r="R26" s="2">
        <v>35657.54</v>
      </c>
    </row>
    <row r="27" spans="1:18" ht="13.5" x14ac:dyDescent="0.25">
      <c r="A27" s="4">
        <v>2023</v>
      </c>
      <c r="B27" s="2">
        <v>3150165</v>
      </c>
      <c r="E27" s="4">
        <v>2023</v>
      </c>
      <c r="F27" s="2">
        <v>5.654064</v>
      </c>
      <c r="I27" s="4">
        <v>2023</v>
      </c>
      <c r="J27" s="2">
        <v>82.587360000000004</v>
      </c>
      <c r="M27" s="4">
        <v>2023</v>
      </c>
      <c r="N27" s="2">
        <v>780000000000</v>
      </c>
      <c r="Q27" s="4">
        <v>2023</v>
      </c>
      <c r="R27" s="2">
        <v>35714.6</v>
      </c>
    </row>
    <row r="28" spans="1:18" ht="13.5" x14ac:dyDescent="0.25">
      <c r="A28" s="4">
        <v>2024</v>
      </c>
      <c r="B28" s="2">
        <v>3377677</v>
      </c>
      <c r="E28" s="4">
        <v>2024</v>
      </c>
      <c r="F28" s="2">
        <v>4.9782500000000001</v>
      </c>
      <c r="I28" s="4">
        <v>2024</v>
      </c>
      <c r="J28" s="2">
        <v>83.669169999999994</v>
      </c>
      <c r="M28" s="4">
        <v>2024</v>
      </c>
      <c r="N28" s="2">
        <v>814000000000</v>
      </c>
      <c r="Q28" s="4">
        <v>2024</v>
      </c>
      <c r="R28" s="2">
        <v>37067.78</v>
      </c>
    </row>
    <row r="29" spans="1:18" ht="13.5" x14ac:dyDescent="0.25">
      <c r="A29" s="4">
        <v>2025</v>
      </c>
      <c r="B29" s="2">
        <v>3630711</v>
      </c>
      <c r="E29" s="4">
        <v>2025</v>
      </c>
      <c r="F29" s="2">
        <v>2.1871010000000002</v>
      </c>
      <c r="I29" s="4">
        <v>2025</v>
      </c>
      <c r="J29" s="2">
        <v>87.165930000000003</v>
      </c>
      <c r="M29" s="4">
        <v>2025</v>
      </c>
      <c r="N29" s="2">
        <v>845000000000</v>
      </c>
      <c r="Q29" s="4">
        <v>2025</v>
      </c>
      <c r="R29" s="2"/>
    </row>
    <row r="30" spans="1:18" ht="13.5" x14ac:dyDescent="0.25">
      <c r="A30" s="4">
        <v>2026</v>
      </c>
      <c r="B30" s="2"/>
      <c r="E30" s="4">
        <v>2026</v>
      </c>
      <c r="F30" s="2">
        <v>2.7436919999999998</v>
      </c>
      <c r="I30" s="4">
        <v>2026</v>
      </c>
      <c r="J30" s="2">
        <v>92.731960000000001</v>
      </c>
      <c r="M30" s="4">
        <v>2026</v>
      </c>
      <c r="N30" s="2"/>
      <c r="Q30" s="4">
        <v>2026</v>
      </c>
      <c r="R30" s="2"/>
    </row>
    <row r="31" spans="1:18" ht="13.5" x14ac:dyDescent="0.25">
      <c r="A31" s="4" t="s">
        <v>8</v>
      </c>
      <c r="B31" s="2">
        <v>46388416</v>
      </c>
      <c r="E31" s="4" t="s">
        <v>8</v>
      </c>
      <c r="F31" s="2">
        <v>122.335472</v>
      </c>
      <c r="I31" s="4" t="s">
        <v>8</v>
      </c>
      <c r="J31" s="2">
        <v>1606.1417999999999</v>
      </c>
      <c r="M31" s="4" t="s">
        <v>8</v>
      </c>
      <c r="N31" s="2">
        <v>13092000000000</v>
      </c>
      <c r="Q31" s="4" t="s">
        <v>8</v>
      </c>
      <c r="R31" s="2">
        <v>355320.82999999996</v>
      </c>
    </row>
    <row r="32" spans="1:18" ht="13.5" x14ac:dyDescent="0.25"/>
    <row r="33" ht="13.5" x14ac:dyDescent="0.25"/>
    <row r="34" ht="13.5" x14ac:dyDescent="0.25"/>
    <row r="35" ht="13.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42131-7CEA-49AB-9B16-E482E6392E3F}">
  <dimension ref="A2:X7"/>
  <sheetViews>
    <sheetView showGridLines="0" topLeftCell="A4" zoomScale="46" zoomScaleNormal="70" workbookViewId="0">
      <selection activeCell="I42" sqref="I42"/>
    </sheetView>
  </sheetViews>
  <sheetFormatPr defaultRowHeight="13.5" x14ac:dyDescent="0.25"/>
  <cols>
    <col min="1" max="1" width="4.25" customWidth="1"/>
    <col min="3" max="3" width="15.1640625" customWidth="1"/>
    <col min="6" max="6" width="8.6640625" customWidth="1"/>
    <col min="9" max="9" width="11.6640625" customWidth="1"/>
    <col min="12" max="12" width="18.4140625" customWidth="1"/>
    <col min="13" max="13" width="5.4140625" customWidth="1"/>
    <col min="14" max="14" width="2.1640625" customWidth="1"/>
    <col min="16" max="16" width="3.58203125" customWidth="1"/>
    <col min="21" max="21" width="1.25" customWidth="1"/>
    <col min="22" max="22" width="3.6640625" customWidth="1"/>
    <col min="23" max="23" width="5.83203125" customWidth="1"/>
    <col min="24" max="24" width="11.58203125" customWidth="1"/>
  </cols>
  <sheetData>
    <row r="2" spans="1:24" ht="14.5" customHeight="1" x14ac:dyDescent="0.25">
      <c r="A2" s="12" t="s">
        <v>14</v>
      </c>
      <c r="B2" s="12"/>
      <c r="C2" s="12"/>
      <c r="D2" s="12"/>
      <c r="E2" s="12"/>
      <c r="F2" s="12"/>
      <c r="G2" s="12"/>
      <c r="H2" s="12"/>
      <c r="I2" s="12"/>
      <c r="J2" s="12"/>
      <c r="K2" s="12"/>
      <c r="L2" s="12"/>
      <c r="M2" s="12"/>
      <c r="N2" s="12"/>
      <c r="O2" s="12"/>
      <c r="P2" s="12"/>
      <c r="Q2" s="12"/>
      <c r="R2" s="12"/>
      <c r="S2" s="12"/>
      <c r="T2" s="12"/>
      <c r="U2" s="12"/>
      <c r="V2" s="12"/>
      <c r="W2" s="12"/>
      <c r="X2" s="12"/>
    </row>
    <row r="3" spans="1:24" ht="15" customHeight="1" x14ac:dyDescent="0.25">
      <c r="A3" s="12"/>
      <c r="B3" s="12"/>
      <c r="C3" s="12"/>
      <c r="D3" s="12"/>
      <c r="E3" s="12"/>
      <c r="F3" s="12"/>
      <c r="G3" s="12"/>
      <c r="H3" s="12"/>
      <c r="I3" s="12"/>
      <c r="J3" s="12"/>
      <c r="K3" s="12"/>
      <c r="L3" s="12"/>
      <c r="M3" s="12"/>
      <c r="N3" s="12"/>
      <c r="O3" s="12"/>
      <c r="P3" s="12"/>
      <c r="Q3" s="12"/>
      <c r="R3" s="12"/>
      <c r="S3" s="12"/>
      <c r="T3" s="12"/>
      <c r="U3" s="12"/>
      <c r="V3" s="12"/>
      <c r="W3" s="12"/>
      <c r="X3" s="12"/>
    </row>
    <row r="4" spans="1:24" s="8" customFormat="1" ht="15" customHeight="1" thickBot="1" x14ac:dyDescent="0.3">
      <c r="A4" s="7"/>
      <c r="B4" s="7"/>
      <c r="C4" s="7"/>
      <c r="D4" s="7"/>
      <c r="E4" s="7"/>
      <c r="F4" s="7"/>
      <c r="G4" s="7"/>
      <c r="H4" s="7"/>
      <c r="I4" s="7"/>
      <c r="J4" s="7"/>
      <c r="K4" s="7"/>
      <c r="L4" s="7"/>
      <c r="M4" s="7"/>
      <c r="N4" s="7"/>
      <c r="O4" s="7"/>
      <c r="P4" s="7"/>
    </row>
    <row r="5" spans="1:24" ht="24" customHeight="1" x14ac:dyDescent="0.25">
      <c r="B5" s="23" t="s">
        <v>18</v>
      </c>
      <c r="C5" s="24"/>
      <c r="E5" s="27">
        <v>2.7400000000000001E-2</v>
      </c>
      <c r="F5" s="9"/>
      <c r="H5" s="28" t="s">
        <v>20</v>
      </c>
      <c r="I5" s="9"/>
      <c r="K5" s="19" t="s">
        <v>19</v>
      </c>
      <c r="L5" s="20"/>
      <c r="N5" s="6"/>
    </row>
    <row r="6" spans="1:24" ht="14" thickBot="1" x14ac:dyDescent="0.3">
      <c r="B6" s="25"/>
      <c r="C6" s="26"/>
      <c r="E6" s="10"/>
      <c r="F6" s="11"/>
      <c r="H6" s="10"/>
      <c r="I6" s="11"/>
      <c r="K6" s="21"/>
      <c r="L6" s="22"/>
    </row>
    <row r="7" spans="1:24" s="13" customFormat="1" ht="19.5" x14ac:dyDescent="0.35">
      <c r="B7" s="14" t="s">
        <v>1</v>
      </c>
      <c r="C7" s="14"/>
      <c r="E7" s="14" t="s">
        <v>2</v>
      </c>
      <c r="F7" s="14"/>
      <c r="H7" s="14" t="s">
        <v>15</v>
      </c>
      <c r="I7" s="14"/>
      <c r="K7" s="14" t="s">
        <v>16</v>
      </c>
      <c r="L7" s="14"/>
    </row>
  </sheetData>
  <mergeCells count="9">
    <mergeCell ref="A2:X3"/>
    <mergeCell ref="B5:C6"/>
    <mergeCell ref="E5:F6"/>
    <mergeCell ref="H5:I6"/>
    <mergeCell ref="K5:L6"/>
    <mergeCell ref="B7:C7"/>
    <mergeCell ref="E7:F7"/>
    <mergeCell ref="H7:I7"/>
    <mergeCell ref="K7:L7"/>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2566-EC97-49FE-BE30-124A50CAD1D0}">
  <dimension ref="A2:B27"/>
  <sheetViews>
    <sheetView zoomScale="61" workbookViewId="0">
      <selection activeCell="D25" sqref="D25"/>
    </sheetView>
  </sheetViews>
  <sheetFormatPr defaultRowHeight="14" x14ac:dyDescent="0.3"/>
  <cols>
    <col min="1" max="1" width="17.9140625" style="31" customWidth="1"/>
    <col min="2" max="2" width="65.4140625" style="31" customWidth="1"/>
    <col min="3" max="16384" width="8.6640625" style="31"/>
  </cols>
  <sheetData>
    <row r="2" spans="1:2" s="29" customFormat="1" ht="30.5" thickBot="1" x14ac:dyDescent="0.65">
      <c r="A2" s="29" t="s">
        <v>21</v>
      </c>
      <c r="B2" s="30" t="s">
        <v>22</v>
      </c>
    </row>
    <row r="3" spans="1:2" ht="42.5" thickBot="1" x14ac:dyDescent="0.35">
      <c r="A3" s="39" t="s">
        <v>23</v>
      </c>
      <c r="B3" s="40" t="s">
        <v>38</v>
      </c>
    </row>
    <row r="4" spans="1:2" x14ac:dyDescent="0.3">
      <c r="A4" s="38" t="s">
        <v>24</v>
      </c>
      <c r="B4" s="33" t="s">
        <v>25</v>
      </c>
    </row>
    <row r="5" spans="1:2" x14ac:dyDescent="0.3">
      <c r="A5" s="34"/>
      <c r="B5" s="35" t="s">
        <v>26</v>
      </c>
    </row>
    <row r="6" spans="1:2" x14ac:dyDescent="0.3">
      <c r="A6" s="34"/>
      <c r="B6" s="35" t="s">
        <v>27</v>
      </c>
    </row>
    <row r="7" spans="1:2" x14ac:dyDescent="0.3">
      <c r="A7" s="34"/>
      <c r="B7" s="35" t="s">
        <v>28</v>
      </c>
    </row>
    <row r="8" spans="1:2" x14ac:dyDescent="0.3">
      <c r="A8" s="34"/>
      <c r="B8" s="35" t="s">
        <v>29</v>
      </c>
    </row>
    <row r="9" spans="1:2" ht="14.5" thickBot="1" x14ac:dyDescent="0.35">
      <c r="A9" s="36"/>
      <c r="B9" s="37" t="s">
        <v>30</v>
      </c>
    </row>
    <row r="10" spans="1:2" x14ac:dyDescent="0.3">
      <c r="A10" s="32" t="s">
        <v>31</v>
      </c>
      <c r="B10" s="33" t="s">
        <v>39</v>
      </c>
    </row>
    <row r="11" spans="1:2" x14ac:dyDescent="0.3">
      <c r="A11" s="34"/>
      <c r="B11" s="35" t="s">
        <v>40</v>
      </c>
    </row>
    <row r="12" spans="1:2" x14ac:dyDescent="0.3">
      <c r="A12" s="34"/>
      <c r="B12" s="35" t="s">
        <v>41</v>
      </c>
    </row>
    <row r="13" spans="1:2" x14ac:dyDescent="0.3">
      <c r="A13" s="34"/>
      <c r="B13" s="35" t="s">
        <v>42</v>
      </c>
    </row>
    <row r="14" spans="1:2" x14ac:dyDescent="0.3">
      <c r="A14" s="34"/>
      <c r="B14" s="35" t="s">
        <v>43</v>
      </c>
    </row>
    <row r="15" spans="1:2" x14ac:dyDescent="0.3">
      <c r="A15" s="34"/>
      <c r="B15" s="35" t="s">
        <v>44</v>
      </c>
    </row>
    <row r="16" spans="1:2" ht="14.5" thickBot="1" x14ac:dyDescent="0.35">
      <c r="A16" s="36"/>
      <c r="B16" s="37" t="s">
        <v>45</v>
      </c>
    </row>
    <row r="17" spans="1:2" x14ac:dyDescent="0.3">
      <c r="A17" s="32" t="s">
        <v>32</v>
      </c>
      <c r="B17" s="33" t="s">
        <v>33</v>
      </c>
    </row>
    <row r="18" spans="1:2" x14ac:dyDescent="0.3">
      <c r="A18" s="34"/>
      <c r="B18" s="35" t="s">
        <v>46</v>
      </c>
    </row>
    <row r="19" spans="1:2" x14ac:dyDescent="0.3">
      <c r="A19" s="34"/>
      <c r="B19" s="35" t="s">
        <v>34</v>
      </c>
    </row>
    <row r="20" spans="1:2" x14ac:dyDescent="0.3">
      <c r="A20" s="34"/>
      <c r="B20" s="35" t="s">
        <v>35</v>
      </c>
    </row>
    <row r="21" spans="1:2" ht="14.5" thickBot="1" x14ac:dyDescent="0.35">
      <c r="A21" s="36"/>
      <c r="B21" s="37" t="s">
        <v>36</v>
      </c>
    </row>
    <row r="22" spans="1:2" x14ac:dyDescent="0.3">
      <c r="A22" s="32" t="s">
        <v>37</v>
      </c>
      <c r="B22" s="33" t="s">
        <v>47</v>
      </c>
    </row>
    <row r="23" spans="1:2" x14ac:dyDescent="0.3">
      <c r="A23" s="34"/>
      <c r="B23" s="35" t="s">
        <v>49</v>
      </c>
    </row>
    <row r="24" spans="1:2" ht="14.5" thickBot="1" x14ac:dyDescent="0.35">
      <c r="A24" s="36"/>
      <c r="B24" s="37" t="s">
        <v>48</v>
      </c>
    </row>
    <row r="25" spans="1:2" x14ac:dyDescent="0.3">
      <c r="A25" s="34" t="s">
        <v>53</v>
      </c>
      <c r="B25" s="35" t="s">
        <v>50</v>
      </c>
    </row>
    <row r="26" spans="1:2" x14ac:dyDescent="0.3">
      <c r="A26" s="34"/>
      <c r="B26" s="35" t="s">
        <v>52</v>
      </c>
    </row>
    <row r="27" spans="1:2" ht="14.5" thickBot="1" x14ac:dyDescent="0.35">
      <c r="A27" s="36"/>
      <c r="B27" s="37"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Table</vt:lpstr>
      <vt:lpstr>Pivot Tables</vt:lpstr>
      <vt:lpstr>Dashboard</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Kumar</dc:creator>
  <cp:lastModifiedBy>J B</cp:lastModifiedBy>
  <dcterms:created xsi:type="dcterms:W3CDTF">2026-07-20T17:57:48Z</dcterms:created>
  <dcterms:modified xsi:type="dcterms:W3CDTF">2026-07-20T17:59:12Z</dcterms:modified>
</cp:coreProperties>
</file>